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62a24c2ba47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8670e6b8e1784766"/>
    <x:sheet xmlns:r="http://schemas.openxmlformats.org/officeDocument/2006/relationships" name="도시 우선순위" sheetId="2" r:id="Rcd9b40d0a9e24bd1"/>
    <x:sheet xmlns:r="http://schemas.openxmlformats.org/officeDocument/2006/relationships" name="가격 표본" sheetId="3" r:id="R7b167c3cdf2b4267"/>
    <x:sheet xmlns:r="http://schemas.openxmlformats.org/officeDocument/2006/relationships" name="음식 추천" sheetId="4" r:id="R567879a0a57f41ab"/>
    <x:sheet xmlns:r="http://schemas.openxmlformats.org/officeDocument/2006/relationships" name="도시 초안" sheetId="5" r:id="R624c4a0228d74706"/>
    <x:sheet xmlns:r="http://schemas.openxmlformats.org/officeDocument/2006/relationships" name="다음 조사 큐" sheetId="6" r:id="R0db92a5989a8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>
      <x:left/>
      <x:right/>
      <x:top/>
      <x:bottom/>
      <x:diagonal/>
    </x:border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f7c3c5feb489a" /><Relationship Type="http://schemas.openxmlformats.org/officeDocument/2006/relationships/theme" Target="/xl/theme/theme1.xml" Id="R310db983aa004b84" /><Relationship Type="http://schemas.openxmlformats.org/officeDocument/2006/relationships/sharedStrings" Target="/xl/sharedStrings.xml" Id="Rbf65a8cab0a14c22" /><Relationship Type="http://schemas.openxmlformats.org/officeDocument/2006/relationships/worksheet" Target="/xl/worksheets/sheet1.xml" Id="R8670e6b8e1784766" /><Relationship Type="http://schemas.openxmlformats.org/officeDocument/2006/relationships/worksheet" Target="/xl/worksheets/sheet2.xml" Id="Rcd9b40d0a9e24bd1" /><Relationship Type="http://schemas.openxmlformats.org/officeDocument/2006/relationships/worksheet" Target="/xl/worksheets/sheet3.xml" Id="R7b167c3cdf2b4267" /><Relationship Type="http://schemas.openxmlformats.org/officeDocument/2006/relationships/worksheet" Target="/xl/worksheets/sheet4.xml" Id="R567879a0a57f41ab" /><Relationship Type="http://schemas.openxmlformats.org/officeDocument/2006/relationships/worksheet" Target="/xl/worksheets/sheet5.xml" Id="R624c4a0228d74706" /><Relationship Type="http://schemas.openxmlformats.org/officeDocument/2006/relationships/worksheet" Target="/xl/worksheets/sheet6.xml" Id="R0db92a5989a84472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81" headerRowCount="1" totalsRowCount="0" totalsRowShown="0">
  <x:autoFilter ref="A4:U81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4" headerRowCount="1" totalsRowCount="0" totalsRowShown="0">
  <x:autoFilter ref="A4:K44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95eaf4a61e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558cc155a74a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09562b8daf45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96941f4b4a045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v0.1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2026-10-02.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795eaf4a61e4e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d">
        <x:v>2026-10-02T00:00:00.000Z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d">
        <x:v>2026-10-02T00:00:00.000Z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d">
        <x:v>2026-10-02T00:00:00.000Z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d">
        <x:v>2026-10-02T00:00:00.000Z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3000</x:v>
      </x:c>
      <x:c r="J9" s="32" t="str">
        <x:v>JPY</x:v>
      </x:c>
      <x:c r="K9" s="32" t="str">
        <x:v>성인 1인</x:v>
      </x:c>
      <x:c r="L9" s="32" t="str">
        <x:v>일정/구성형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재검증</x:v>
      </x:c>
      <x:c r="Q9" s="40" t="d">
        <x:v>2026-10-02T00:00:00.000Z</x:v>
      </x:c>
      <x:c r="R9" s="32" t="str">
        <x:v>2026</x:v>
      </x:c>
      <x:c r="S9" s="21" t="str">
        <x:v>Tokyo Skytree</x:v>
      </x:c>
      <x:c r="T9" s="42" t="str">
        <x:v>https://www.tokyo-skytree.jp/en/ticket/individual/</x:v>
      </x:c>
      <x:c r="U9" s="21" t="str">
        <x:v>시작가 표기; 날짜·구성별 요금 확인 필요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d">
        <x:v>2026-10-02T00:00:00.000Z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d">
        <x:v>2026-10-02T00:00:00.000Z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d">
        <x:v>2026-10-02T00:00:00.000Z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d">
        <x:v>2026-10-02T00:00:00.000Z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d">
        <x:v>2026-10-02T00:00:00.000Z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d">
        <x:v>2026-10-02T00:00:00.000Z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B 공공</x:v>
      </x:c>
      <x:c r="O19" s="32" t="str">
        <x:v>조건부</x:v>
      </x:c>
      <x:c r="P19" s="32" t="str">
        <x:v>확정 1차</x:v>
      </x:c>
      <x:c r="Q19" s="40" t="d">
        <x:v>2026-10-02T00:00:00.000Z</x:v>
      </x:c>
      <x:c r="R19" s="32" t="str">
        <x:v>2026-10-01 이후</x:v>
      </x:c>
      <x:c r="S19" s="21" t="str">
        <x:v>Osaka e-Pass</x:v>
      </x:c>
      <x:c r="T19" s="42" t="str">
        <x:v>https://www.e-pass.osaka-info.jp/en/facility/free</x:v>
      </x:c>
      <x:c r="U19" s="21" t="str">
        <x:v>2026-10-01부터 2,000엔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C 보조</x:v>
      </x:c>
      <x:c r="O20" s="33" t="str">
        <x:v>조건부</x:v>
      </x:c>
      <x:c r="P20" s="33" t="str">
        <x:v>재검증</x:v>
      </x:c>
      <x:c r="Q20" s="41" t="d">
        <x:v>2026-10-02T00:00:00.000Z</x:v>
      </x:c>
      <x:c r="R20" s="33" t="str">
        <x:v>2026</x:v>
      </x:c>
      <x:c r="S20" s="22" t="str">
        <x:v>Takohachi menu</x:v>
      </x:c>
      <x:c r="T20" s="43" t="str">
        <x:v>https://www.takohachi.jp/</x:v>
      </x:c>
      <x:c r="U20" s="22" t="str">
        <x:v>공식 메뉴 PDF 가격을 2차 캡처할 것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튀김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C 보조</x:v>
      </x:c>
      <x:c r="O21" s="32" t="str">
        <x:v>조건부</x:v>
      </x:c>
      <x:c r="P21" s="32" t="str">
        <x:v>재검증</x:v>
      </x:c>
      <x:c r="Q21" s="40" t="d">
        <x:v>2026-10-02T00:00:00.000Z</x:v>
      </x:c>
      <x:c r="R21" s="32" t="str">
        <x:v>2026</x:v>
      </x:c>
      <x:c r="S21" s="21" t="str">
        <x:v>Restaurant menu PDF</x:v>
      </x:c>
      <x:c r="T21" s="42" t="str">
        <x:v>https://www.osaka-info.jp/en/gourmet/</x:v>
      </x:c>
      <x:c r="U21" s="21" t="str">
        <x:v>개별 매장 공식 메뉴 URL 추가 필요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d">
        <x:v>2026-10-02T00:00:00.000Z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d">
        <x:v>2026-10-02T00:00:00.000Z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d">
        <x:v>2026-10-02T00:00:00.000Z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d">
        <x:v>2026-10-02T00:00:00.000Z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d">
        <x:v>2026-10-02T00:00:00.000Z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d">
        <x:v>2026-10-02T00:00:00.000Z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A 공식</x:v>
      </x:c>
      <x:c r="O31" s="32" t="str">
        <x:v>예</x:v>
      </x:c>
      <x:c r="P31" s="32" t="str">
        <x:v>확정 1차</x:v>
      </x:c>
      <x:c r="Q31" s="40" t="d">
        <x:v>2026-10-02T00:00:00.000Z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재고/컬렉션 변경 가능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A 공식</x:v>
      </x:c>
      <x:c r="O32" s="33" t="str">
        <x:v>예</x:v>
      </x:c>
      <x:c r="P32" s="33" t="str">
        <x:v>확정 1차</x:v>
      </x:c>
      <x:c r="Q32" s="41" t="d">
        <x:v>2026-10-02T00:00:00.000Z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재고/컬렉션 변경 가능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B 공공</x:v>
      </x:c>
      <x:c r="O40" s="33" t="str">
        <x:v>조건부</x:v>
      </x:c>
      <x:c r="P40" s="33" t="str">
        <x:v>확정 1차</x:v>
      </x:c>
      <x:c r="Q40" s="41" t="d">
        <x:v>2026-10-02T00:00:00.000Z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개별 매장 메뉴 표본으로 보강 필요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C 보조</x:v>
      </x:c>
      <x:c r="O41" s="32" t="str">
        <x:v>조건부</x:v>
      </x:c>
      <x:c r="P41" s="32" t="str">
        <x:v>확정 1차</x:v>
      </x:c>
      <x:c r="Q41" s="40" t="d">
        <x:v>2026-10-02T00:00:00.000Z</x:v>
      </x:c>
      <x:c r="R41" s="32" t="str">
        <x:v>2025</x:v>
      </x:c>
      <x:c r="S41" s="21" t="str">
        <x:v>Da Nang Food Tour Directory</x:v>
      </x:c>
      <x:c r="T41" s="42" t="str">
        <x:v>https://www.foodtourdanang.vn/en/my-quang-ech-bep-trang-bach-dang?food=52</x:v>
      </x:c>
      <x:c r="U41" s="21" t="str">
        <x:v>매장 공식 메뉴와 교차검증 필요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C 보조</x:v>
      </x:c>
      <x:c r="O48" s="33" t="str">
        <x:v>조건부</x:v>
      </x:c>
      <x:c r="P48" s="33" t="str">
        <x:v>재검증</x:v>
      </x:c>
      <x:c r="Q48" s="41" t="d">
        <x:v>2026-10-02T00:00:00.000Z</x:v>
      </x:c>
      <x:c r="R48" s="33" t="str">
        <x:v>2026</x:v>
      </x:c>
      <x:c r="S48" s="22" t="str">
        <x:v>Current delivery menu capture</x:v>
      </x:c>
      <x:c r="T48" s="43" t="str">
        <x:v>https://www.ubereats.com/tw-en/brand-city/taipei-tpe/dintaifung</x:v>
      </x:c>
      <x:c r="U48" s="22" t="str">
        <x:v>브랜드 공식 메뉴 가격과 재검증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C 보조</x:v>
      </x:c>
      <x:c r="O49" s="32" t="str">
        <x:v>조건부</x:v>
      </x:c>
      <x:c r="P49" s="32" t="str">
        <x:v>재검증</x:v>
      </x:c>
      <x:c r="Q49" s="40" t="d">
        <x:v>2026-10-02T00:00:00.000Z</x:v>
      </x:c>
      <x:c r="R49" s="32" t="str">
        <x:v>2026</x:v>
      </x:c>
      <x:c r="S49" s="21" t="str">
        <x:v>Current delivery menu capture</x:v>
      </x:c>
      <x:c r="T49" s="42" t="str">
        <x:v>https://www.ubereats.com/tw-en/brand-city/taipei-tpe/dintaifung</x:v>
      </x:c>
      <x:c r="U49" s="21" t="str">
        <x:v>배달가와 매장가 차이 확인 필요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228</x:v>
      </x:c>
      <x:c r="I50" s="39" t="n">
        <x:v>228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C 보조</x:v>
      </x:c>
      <x:c r="O50" s="33" t="str">
        <x:v>조건부</x:v>
      </x:c>
      <x:c r="P50" s="33" t="str">
        <x:v>재검증</x:v>
      </x:c>
      <x:c r="Q50" s="41" t="d">
        <x:v>2026-10-02T00:00:00.000Z</x:v>
      </x:c>
      <x:c r="R50" s="33" t="str">
        <x:v>2026</x:v>
      </x:c>
      <x:c r="S50" s="22" t="str">
        <x:v>Taiwan Souvenirs retailer</x:v>
      </x:c>
      <x:c r="T50" s="43" t="str">
        <x:v>https://taiwan-souvenirs.com/en/products</x:v>
      </x:c>
      <x:c r="U50" s="22" t="str">
        <x:v>공식 매장 가격과 확인 필요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456</x:v>
      </x:c>
      <x:c r="I51" s="38" t="n">
        <x:v>456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C 보조</x:v>
      </x:c>
      <x:c r="O51" s="32" t="str">
        <x:v>조건부</x:v>
      </x:c>
      <x:c r="P51" s="32" t="str">
        <x:v>재검증</x:v>
      </x:c>
      <x:c r="Q51" s="40" t="d">
        <x:v>2026-10-02T00:00:00.000Z</x:v>
      </x:c>
      <x:c r="R51" s="32" t="str">
        <x:v>2026</x:v>
      </x:c>
      <x:c r="S51" s="21" t="str">
        <x:v>Taiwan Souvenirs retailer</x:v>
      </x:c>
      <x:c r="T51" s="42" t="str">
        <x:v>https://taiwan-souvenirs.com/en/products</x:v>
      </x:c>
      <x:c r="U51" s="21" t="str">
        <x:v>공식 매장 가격과 확인 필요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d">
        <x:v>2026-10-02T00:00:00.000Z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C 보조</x:v>
      </x:c>
      <x:c r="O55" s="32" t="str">
        <x:v>조건부</x:v>
      </x:c>
      <x:c r="P55" s="32" t="str">
        <x:v>재검증</x:v>
      </x:c>
      <x:c r="Q55" s="40" t="d">
        <x:v>2026-10-02T00:00:00.000Z</x:v>
      </x:c>
      <x:c r="R55" s="32" t="str">
        <x:v>2026</x:v>
      </x:c>
      <x:c r="S55" s="21" t="str">
        <x:v>Toast Box store listing</x:v>
      </x:c>
      <x:c r="T55" s="42" t="str">
        <x:v>https://gobugis.com/shop/toast-box-bugis-junction</x:v>
      </x:c>
      <x:c r="U55" s="21" t="str">
        <x:v>지점별 가격 차이 가능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C 보조</x:v>
      </x:c>
      <x:c r="O56" s="33" t="str">
        <x:v>조건부</x:v>
      </x:c>
      <x:c r="P56" s="33" t="str">
        <x:v>재검증</x:v>
      </x:c>
      <x:c r="Q56" s="41" t="d">
        <x:v>2026-10-02T00:00:00.000Z</x:v>
      </x:c>
      <x:c r="R56" s="33" t="str">
        <x:v>2026</x:v>
      </x:c>
      <x:c r="S56" s="22" t="str">
        <x:v>Toast Box store listing</x:v>
      </x:c>
      <x:c r="T56" s="43" t="str">
        <x:v>https://gobugis.com/shop/toast-box-bugis-junction</x:v>
      </x:c>
      <x:c r="U56" s="22" t="str">
        <x:v>같은 목록 내 지점별 6.2~10.0 표기 존재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C 보조</x:v>
      </x:c>
      <x:c r="O57" s="32" t="str">
        <x:v>조건부</x:v>
      </x:c>
      <x:c r="P57" s="32" t="str">
        <x:v>재검증</x:v>
      </x:c>
      <x:c r="Q57" s="40" t="d">
        <x:v>2026-10-02T00:00:00.000Z</x:v>
      </x:c>
      <x:c r="R57" s="32" t="str">
        <x:v>2026</x:v>
      </x:c>
      <x:c r="S57" s="21" t="str">
        <x:v>Toast Box store listing</x:v>
      </x:c>
      <x:c r="T57" s="42" t="str">
        <x:v>https://gobugis.com/shop/toast-box-bugis-junction</x:v>
      </x:c>
      <x:c r="U57" s="21" t="str">
        <x:v>브랜드 공식 메뉴 확인 필요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C 보조</x:v>
      </x:c>
      <x:c r="O58" s="33" t="str">
        <x:v>조건부</x:v>
      </x:c>
      <x:c r="P58" s="33" t="str">
        <x:v>재검증</x:v>
      </x:c>
      <x:c r="Q58" s="41" t="d">
        <x:v>2026-10-02T00:00:00.000Z</x:v>
      </x:c>
      <x:c r="R58" s="33" t="str">
        <x:v>2026</x:v>
      </x:c>
      <x:c r="S58" s="22" t="str">
        <x:v>Toast Box store listing</x:v>
      </x:c>
      <x:c r="T58" s="43" t="str">
        <x:v>https://gobugis.com/shop/toast-box-bugis-junction</x:v>
      </x:c>
      <x:c r="U58" s="22" t="str">
        <x:v>소형 기준 표본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C 보조</x:v>
      </x:c>
      <x:c r="O59" s="32" t="str">
        <x:v>조건부</x:v>
      </x:c>
      <x:c r="P59" s="32" t="str">
        <x:v>재검증</x:v>
      </x:c>
      <x:c r="Q59" s="40" t="d">
        <x:v>2026-10-02T00:00:00.000Z</x:v>
      </x:c>
      <x:c r="R59" s="32" t="str">
        <x:v>2026</x:v>
      </x:c>
      <x:c r="S59" s="21" t="str">
        <x:v>Bengawan Solo store listing</x:v>
      </x:c>
      <x:c r="T59" s="42" t="str">
        <x:v>https://makaneast.com/shop/bengawan-solo</x:v>
      </x:c>
      <x:c r="U59" s="21" t="str">
        <x:v>매장 진열 가격; 브랜드 공식몰 재검증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d">
        <x:v>2026-10-02T00:00:00.000Z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d">
        <x:v>2026-10-02T00:00:00.000Z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d">
        <x:v>2026-10-02T00:00:00.000Z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재검증</x:v>
      </x:c>
      <x:c r="Q66" s="41" t="d">
        <x:v>2026-10-02T00:00:00.000Z</x:v>
      </x:c>
      <x:c r="R66" s="33" t="str">
        <x:v>2026</x:v>
      </x:c>
      <x:c r="S66" s="22" t="str">
        <x:v>Bouillon Chartier</x:v>
      </x:c>
      <x:c r="T66" s="43" t="str">
        <x:v>https://www.bouillon-chartier.com/</x:v>
      </x:c>
      <x:c r="U66" s="22" t="str">
        <x:v>지점·일일 메뉴별 확인 필요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재검증</x:v>
      </x:c>
      <x:c r="Q67" s="40" t="d">
        <x:v>2026-10-02T00:00:00.000Z</x:v>
      </x:c>
      <x:c r="R67" s="32" t="str">
        <x:v>2026</x:v>
      </x:c>
      <x:c r="S67" s="21" t="str">
        <x:v>Bouillon Chartier</x:v>
      </x:c>
      <x:c r="T67" s="42" t="str">
        <x:v>https://www.bouillon-chartier.com/</x:v>
      </x:c>
      <x:c r="U67" s="21" t="str">
        <x:v>공식 안내의 '20유로 미만' 문구; 개별 조합 표본 필요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d">
        <x:v>2026-10-02T00:00:00.000Z</x:v>
      </x:c>
      <x:c r="R68" s="33" t="str">
        <x:v>2026</x:v>
      </x:c>
      <x:c r="S68" s="22" t="str">
        <x:v>Official Eiffel Tower Shop</x:v>
      </x:c>
      <x:c r="T68" s="43" t="str">
        <x:v>https://shop.toureiffel.paris/en/</x:v>
      </x:c>
      <x:c r="U68" s="22" t="str">
        <x:v>제품 재고·디자인 변경 가능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d">
        <x:v>2026-10-02T00:00:00.000Z</x:v>
      </x:c>
      <x:c r="R69" s="32" t="str">
        <x:v>2026</x:v>
      </x:c>
      <x:c r="S69" s="21" t="str">
        <x:v>Official Eiffel Tower Shop</x:v>
      </x:c>
      <x:c r="T69" s="42" t="str">
        <x:v>https://shop.toureiffel.paris/en/</x:v>
      </x:c>
      <x:c r="U69" s="21" t="str">
        <x:v>제품 재고 변경 가능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C 보조</x:v>
      </x:c>
      <x:c r="O70" s="33" t="str">
        <x:v>조건부</x:v>
      </x:c>
      <x:c r="P70" s="33" t="str">
        <x:v>재검증</x:v>
      </x:c>
      <x:c r="Q70" s="41" t="d">
        <x:v>2026-10-02T00:00:00.000Z</x:v>
      </x:c>
      <x:c r="R70" s="33" t="str">
        <x:v>2026</x:v>
      </x:c>
      <x:c r="S70" s="22" t="str">
        <x:v>Paris shop menu sample</x:v>
      </x:c>
      <x:c r="T70" s="43" t="str">
        <x:v>https://parisjetaime.com/eng/article/what-to-eat-in-paris-a954</x:v>
      </x:c>
      <x:c r="U70" s="22" t="str">
        <x:v>개별 공식 매장 3곳 표본 추가 필요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d">
        <x:v>2026-10-02T00:00:00.000Z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38</x:v>
      </x:c>
      <x:c r="I72" s="39" t="n">
        <x:v>38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1차</x:v>
      </x:c>
      <x:c r="Q72" s="41" t="d">
        <x:v>2026-10-02T00:00:00.000Z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기부 제외 가격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19</x:v>
      </x:c>
      <x:c r="I73" s="38" t="n">
        <x:v>19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1차</x:v>
      </x:c>
      <x:c r="Q73" s="40" t="d">
        <x:v>2026-10-02T00:00:00.000Z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기부 제외 가격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숍 소형 굿즈 시작가</x:v>
      </x:c>
      <x:c r="G81" s="21" t="str">
        <x:v>British Museum Shop Small Gift From</x:v>
      </x:c>
      <x:c r="H81" s="38" t="n">
        <x:v>6.99</x:v>
      </x:c>
      <x:c r="I81" s="38" t="n">
        <x:v>6.99</x:v>
      </x:c>
      <x:c r="J81" s="32" t="str">
        <x:v>GBP</x:v>
      </x:c>
      <x:c r="K81" s="32" t="str">
        <x:v>1개 시작가</x:v>
      </x:c>
      <x:c r="L81" s="32" t="str">
        <x:v>재고형</x:v>
      </x:c>
      <x:c r="M81" s="32" t="str">
        <x:v>일반</x:v>
      </x:c>
      <x:c r="N81" s="32" t="str">
        <x:v>C 보조</x:v>
      </x:c>
      <x:c r="O81" s="32" t="str">
        <x:v>조건부</x:v>
      </x:c>
      <x:c r="P81" s="32" t="str">
        <x:v>재검증</x:v>
      </x:c>
      <x:c r="Q81" s="40" t="d">
        <x:v>2026-10-02T00:00:00.000Z</x:v>
      </x:c>
      <x:c r="R81" s="32" t="str">
        <x:v>2026</x:v>
      </x:c>
      <x:c r="S81" s="21" t="str">
        <x:v>British Museum Shop</x:v>
      </x:c>
      <x:c r="T81" s="42" t="str">
        <x:v>https://www.britishmuseumshoponline.org/</x:v>
      </x:c>
      <x:c r="U81" s="21" t="str">
        <x:v>개별 상품 URL과 재고 상태 추가 필요</x:v>
      </x:c>
    </x:row>
  </x:sheetData>
  <x:mergeCells>
    <x:mergeCell ref="A1:U1"/>
    <x:mergeCell ref="A2:U2"/>
  </x:mergeCells>
  <x:conditionalFormatting sqref="P5:P81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35558cc155a74a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609562b8daf457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현재 가격 표본 수를 카테고리당 3개(도시당 12개) 목표와 비교한 값이다. 표본이 부족한 도시는 일일 평균값을 확정하지 않는다.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4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1</x:v>
      </x:c>
      <x:c r="G5" s="32" t="n">
        <x:f>COUNTIFS('가격 표본'!$C$5:$C$150,B5,'가격 표본'!$D$5:$D$150,"기념품")</x:f>
        <x:v>2</x:v>
      </x:c>
      <x:c r="H5" s="32" t="n">
        <x:f>COUNTIFS('가격 표본'!$C$5:$C$150,B5,'가격 표본'!$N$5:$N$150,"A 공식")</x:f>
        <x:v>10</x:v>
      </x:c>
      <x:c r="I5" s="32" t="n">
        <x:f>COUNTIFS('가격 표본'!$C$5:$C$150,B5,'가격 표본'!$O$5:$O$150,"예")</x:f>
        <x:v>9</x:v>
      </x:c>
      <x:c r="J5" s="32" t="n">
        <x:f>COUNTIFS('가격 표본'!$C$5:$C$150,B5,'가격 표본'!$L$5:$L$150,"&lt;&gt;고정형")</x:f>
        <x:v>2</x:v>
      </x:c>
      <x:c r="K5" s="48" t="n">
        <x:f>(MIN(3,D5)+MIN(3,E5)+MIN(3,F5)+MIN(3,G5))/12</x:f>
        <x:v>0.75</x:v>
      </x:c>
      <x:c r="L5" s="32" t="str">
        <x:f>IF(AND(D5&gt;=2,E5&gt;=2,F5&gt;=2,G5&gt;=2,K5&gt;=0.75),"범위 산정 후보",IF(K5&gt;=0.4,"표본 보강","초기"))</x:f>
        <x:v>표본 보강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2</x:v>
      </x:c>
      <x:c r="E6" s="33" t="n">
        <x:f>COUNTIFS('가격 표본'!$C$5:$C$150,B6,'가격 표본'!$D$5:$D$150,"외식")</x:f>
        <x:v>2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3</x:v>
      </x:c>
      <x:c r="H6" s="33" t="n">
        <x:f>COUNTIFS('가격 표본'!$C$5:$C$150,B6,'가격 표본'!$N$5:$N$150,"A 공식")</x:f>
        <x:v>5</x:v>
      </x:c>
      <x:c r="I6" s="33" t="n">
        <x:f>COUNTIFS('가격 표본'!$C$5:$C$150,B6,'가격 표본'!$O$5:$O$150,"예")</x:f>
        <x:v>4</x:v>
      </x:c>
      <x:c r="J6" s="33" t="n">
        <x:f>COUNTIFS('가격 표본'!$C$5:$C$150,B6,'가격 표본'!$L$5:$L$150,"&lt;&gt;고정형")</x:f>
        <x:v>3</x:v>
      </x:c>
      <x:c r="K6" s="49" t="n">
        <x:f>(MIN(3,D6)+MIN(3,E6)+MIN(3,F6)+MIN(3,G6))/12</x:f>
        <x:v>0.8333333333333334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1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2</x:v>
      </x:c>
      <x:c r="G7" s="32" t="n">
        <x:f>COUNTIFS('가격 표본'!$C$5:$C$150,B7,'가격 표본'!$D$5:$D$150,"기념품")</x:f>
        <x:v>2</x:v>
      </x:c>
      <x:c r="H7" s="32" t="n">
        <x:f>COUNTIFS('가격 표본'!$C$5:$C$150,B7,'가격 표본'!$N$5:$N$150,"A 공식")</x:f>
        <x:v>7</x:v>
      </x:c>
      <x:c r="I7" s="32" t="n">
        <x:f>COUNTIFS('가격 표본'!$C$5:$C$150,B7,'가격 표본'!$O$5:$O$150,"예")</x:f>
        <x:v>7</x:v>
      </x:c>
      <x:c r="J7" s="32" t="n">
        <x:f>COUNTIFS('가격 표본'!$C$5:$C$150,B7,'가격 표본'!$L$5:$L$150,"&lt;&gt;고정형")</x:f>
        <x:v>4</x:v>
      </x:c>
      <x:c r="K7" s="48" t="n">
        <x:f>(MIN(3,D7)+MIN(3,E7)+MIN(3,F7)+MIN(3,G7))/12</x:f>
        <x:v>0.6666666666666666</x:v>
      </x:c>
      <x:c r="L7" s="32" t="str">
        <x:f>IF(AND(D7&gt;=2,E7&gt;=2,F7&gt;=2,G7&gt;=2,K7&gt;=0.75),"범위 산정 후보",IF(K7&gt;=0.4,"표본 보강","초기"))</x:f>
        <x:v>표본 보강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4</x:v>
      </x:c>
      <x:c r="E8" s="33" t="n">
        <x:f>COUNTIFS('가격 표본'!$C$5:$C$150,B8,'가격 표본'!$D$5:$D$150,"외식")</x:f>
        <x:v>3</x:v>
      </x:c>
      <x:c r="F8" s="33" t="n">
        <x:f>COUNTIFS('가격 표본'!$C$5:$C$150,B8,'가격 표본'!$D$5:$D$150,"관광")</x:f>
        <x:v>3</x:v>
      </x:c>
      <x:c r="G8" s="33" t="n">
        <x:f>COUNTIFS('가격 표본'!$C$5:$C$150,B8,'가격 표본'!$D$5:$D$150,"기념품")</x:f>
        <x:v>0</x:v>
      </x:c>
      <x:c r="H8" s="33" t="n">
        <x:f>COUNTIFS('가격 표본'!$C$5:$C$150,B8,'가격 표본'!$N$5:$N$150,"A 공식")</x:f>
        <x:v>1</x:v>
      </x:c>
      <x:c r="I8" s="33" t="n">
        <x:f>COUNTIFS('가격 표본'!$C$5:$C$150,B8,'가격 표본'!$O$5:$O$150,"예")</x:f>
        <x:v>0</x:v>
      </x:c>
      <x:c r="J8" s="33" t="n">
        <x:f>COUNTIFS('가격 표본'!$C$5:$C$150,B8,'가격 표본'!$L$5:$L$150,"&lt;&gt;고정형")</x:f>
        <x:v>5</x:v>
      </x:c>
      <x:c r="K8" s="49" t="n">
        <x:f>(MIN(3,D8)+MIN(3,E8)+MIN(3,F8)+MIN(3,G8))/12</x:f>
        <x:v>0.75</x:v>
      </x:c>
      <x:c r="L8" s="33" t="str">
        <x:f>IF(AND(D8&gt;=2,E8&gt;=2,F8&gt;=2,G8&gt;=2,K8&gt;=0.75),"범위 산정 후보",IF(K8&gt;=0.4,"표본 보강","초기"))</x:f>
        <x:v>표본 보강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3</x:v>
      </x:c>
      <x:c r="E9" s="32" t="n">
        <x:f>COUNTIFS('가격 표본'!$C$5:$C$150,B9,'가격 표본'!$D$5:$D$150,"외식")</x:f>
        <x:v>2</x:v>
      </x:c>
      <x:c r="F9" s="32" t="n">
        <x:f>COUNTIFS('가격 표본'!$C$5:$C$150,B9,'가격 표본'!$D$5:$D$150,"관광")</x:f>
        <x:v>2</x:v>
      </x:c>
      <x:c r="G9" s="32" t="n">
        <x:f>COUNTIFS('가격 표본'!$C$5:$C$150,B9,'가격 표본'!$D$5:$D$150,"기념품")</x:f>
        <x:v>2</x:v>
      </x:c>
      <x:c r="H9" s="32" t="n">
        <x:f>COUNTIFS('가격 표본'!$C$5:$C$150,B9,'가격 표본'!$N$5:$N$150,"A 공식")</x:f>
        <x:v>5</x:v>
      </x:c>
      <x:c r="I9" s="32" t="n">
        <x:f>COUNTIFS('가격 표본'!$C$5:$C$150,B9,'가격 표본'!$O$5:$O$150,"예")</x:f>
        <x:v>5</x:v>
      </x:c>
      <x:c r="J9" s="32" t="n">
        <x:f>COUNTIFS('가격 표본'!$C$5:$C$150,B9,'가격 표본'!$L$5:$L$150,"&lt;&gt;고정형")</x:f>
        <x:v>0</x:v>
      </x:c>
      <x:c r="K9" s="48" t="n">
        <x:f>(MIN(3,D9)+MIN(3,E9)+MIN(3,F9)+MIN(3,G9))/12</x:f>
        <x:v>0.75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1</x:v>
      </x:c>
      <x:c r="E10" s="33" t="n">
        <x:f>COUNTIFS('가격 표본'!$C$5:$C$150,B10,'가격 표본'!$D$5:$D$150,"외식")</x:f>
        <x:v>4</x:v>
      </x:c>
      <x:c r="F10" s="33" t="n">
        <x:f>COUNTIFS('가격 표본'!$C$5:$C$150,B10,'가격 표본'!$D$5:$D$150,"관광")</x:f>
        <x:v>2</x:v>
      </x:c>
      <x:c r="G10" s="33" t="n">
        <x:f>COUNTIFS('가격 표본'!$C$5:$C$150,B10,'가격 표본'!$D$5:$D$150,"기념품")</x:f>
        <x:v>1</x:v>
      </x:c>
      <x:c r="H10" s="33" t="n">
        <x:f>COUNTIFS('가격 표본'!$C$5:$C$150,B10,'가격 표본'!$N$5:$N$150,"A 공식")</x:f>
        <x:v>3</x:v>
      </x:c>
      <x:c r="I10" s="33" t="n">
        <x:f>COUNTIFS('가격 표본'!$C$5:$C$150,B10,'가격 표본'!$O$5:$O$150,"예")</x:f>
        <x:v>3</x:v>
      </x:c>
      <x:c r="J10" s="33" t="n">
        <x:f>COUNTIFS('가격 표본'!$C$5:$C$150,B10,'가격 표본'!$L$5:$L$150,"&lt;&gt;고정형")</x:f>
        <x:v>8</x:v>
      </x:c>
      <x:c r="K10" s="49" t="n">
        <x:f>(MIN(3,D10)+MIN(3,E10)+MIN(3,F10)+MIN(3,G10))/12</x:f>
        <x:v>0.5833333333333334</x:v>
      </x:c>
      <x:c r="L10" s="33" t="str">
        <x:f>IF(AND(D10&gt;=2,E10&gt;=2,F10&gt;=2,G10&gt;=2,K10&gt;=0.75),"범위 산정 후보",IF(K10&gt;=0.4,"표본 보강","초기"))</x:f>
        <x:v>표본 보강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1</x:v>
      </x:c>
      <x:c r="E11" s="32" t="n">
        <x:f>COUNTIFS('가격 표본'!$C$5:$C$150,B11,'가격 표본'!$D$5:$D$150,"외식")</x:f>
        <x:v>2</x:v>
      </x:c>
      <x:c r="F11" s="32" t="n">
        <x:f>COUNTIFS('가격 표본'!$C$5:$C$150,B11,'가격 표본'!$D$5:$D$150,"관광")</x:f>
        <x:v>5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10</x:v>
      </x:c>
      <x:c r="I11" s="32" t="n">
        <x:f>COUNTIFS('가격 표본'!$C$5:$C$150,B11,'가격 표본'!$O$5:$O$150,"예")</x:f>
        <x:v>8</x:v>
      </x:c>
      <x:c r="J11" s="32" t="n">
        <x:f>COUNTIFS('가격 표본'!$C$5:$C$150,B11,'가격 표본'!$L$5:$L$150,"&lt;&gt;고정형")</x:f>
        <x:v>7</x:v>
      </x:c>
      <x:c r="K11" s="48" t="n">
        <x:f>(MIN(3,D11)+MIN(3,E11)+MIN(3,F11)+MIN(3,G11))/12</x:f>
        <x:v>0.75</x:v>
      </x:c>
      <x:c r="L11" s="32" t="str">
        <x:f>IF(AND(D11&gt;=2,E11&gt;=2,F11&gt;=2,G11&gt;=2,K11&gt;=0.75),"범위 산정 후보",IF(K11&gt;=0.4,"표본 보강","초기"))</x:f>
        <x:v>표본 보강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1</x:v>
      </x:c>
      <x:c r="E12" s="33" t="n">
        <x:f>COUNTIFS('가격 표본'!$C$5:$C$150,B12,'가격 표본'!$D$5:$D$150,"외식")</x:f>
        <x:v>4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1</x:v>
      </x:c>
      <x:c r="H12" s="33" t="n">
        <x:f>COUNTIFS('가격 표본'!$C$5:$C$150,B12,'가격 표본'!$N$5:$N$150,"A 공식")</x:f>
        <x:v>8</x:v>
      </x:c>
      <x:c r="I12" s="33" t="n">
        <x:f>COUNTIFS('가격 표본'!$C$5:$C$150,B12,'가격 표본'!$O$5:$O$150,"예")</x:f>
        <x:v>8</x:v>
      </x:c>
      <x:c r="J12" s="33" t="n">
        <x:f>COUNTIFS('가격 표본'!$C$5:$C$150,B12,'가격 표본'!$L$5:$L$150,"&lt;&gt;고정형")</x:f>
        <x:v>5</x:v>
      </x:c>
      <x:c r="K12" s="49" t="n">
        <x:f>(MIN(3,D12)+MIN(3,E12)+MIN(3,F12)+MIN(3,G12))/12</x:f>
        <x:v>0.6666666666666666</x:v>
      </x:c>
      <x:c r="L12" s="33" t="str">
        <x:f>IF(AND(D12&gt;=2,E12&gt;=2,F12&gt;=2,G12&gt;=2,K12&gt;=0.75),"범위 산정 후보",IF(K12&gt;=0.4,"표본 보강","초기"))</x:f>
        <x:v>표본 보강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96941f4b4a0457e"/>
  </x:tableParts>
</x:worksheet>
</file>