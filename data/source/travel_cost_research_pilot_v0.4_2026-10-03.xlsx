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9af977bc8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f348d8b8db414312"/>
    <x:sheet xmlns:r="http://schemas.openxmlformats.org/officeDocument/2006/relationships" name="도시 우선순위" sheetId="2" r:id="R54931c9a950d42f4"/>
    <x:sheet xmlns:r="http://schemas.openxmlformats.org/officeDocument/2006/relationships" name="가격 표본" sheetId="3" r:id="Rac8812f030f24f96"/>
    <x:sheet xmlns:r="http://schemas.openxmlformats.org/officeDocument/2006/relationships" name="음식 추천" sheetId="4" r:id="R5fd3eb64bbc545e0"/>
    <x:sheet xmlns:r="http://schemas.openxmlformats.org/officeDocument/2006/relationships" name="도시 초안" sheetId="5" r:id="Re4d0318940404ee2"/>
    <x:sheet xmlns:r="http://schemas.openxmlformats.org/officeDocument/2006/relationships" name="다음 조사 큐" sheetId="6" r:id="Rc90b7960ca14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8269263104b57" /><Relationship Type="http://schemas.openxmlformats.org/officeDocument/2006/relationships/theme" Target="/xl/theme/theme1.xml" Id="Rd2d306c250414300" /><Relationship Type="http://schemas.openxmlformats.org/officeDocument/2006/relationships/sharedStrings" Target="/xl/sharedStrings.xml" Id="R7987e15a8c62400e" /><Relationship Type="http://schemas.openxmlformats.org/officeDocument/2006/relationships/worksheet" Target="/xl/worksheets/sheet1.xml" Id="Rf348d8b8db414312" /><Relationship Type="http://schemas.openxmlformats.org/officeDocument/2006/relationships/worksheet" Target="/xl/worksheets/sheet2.xml" Id="R54931c9a950d42f4" /><Relationship Type="http://schemas.openxmlformats.org/officeDocument/2006/relationships/worksheet" Target="/xl/worksheets/sheet3.xml" Id="Rac8812f030f24f96" /><Relationship Type="http://schemas.openxmlformats.org/officeDocument/2006/relationships/worksheet" Target="/xl/worksheets/sheet4.xml" Id="R5fd3eb64bbc545e0" /><Relationship Type="http://schemas.openxmlformats.org/officeDocument/2006/relationships/worksheet" Target="/xl/worksheets/sheet5.xml" Id="Re4d0318940404ee2" /><Relationship Type="http://schemas.openxmlformats.org/officeDocument/2006/relationships/worksheet" Target="/xl/worksheets/sheet6.xml" Id="Rc90b7960ca144111" /></Relationships>
</file>

<file path=xl/tables/table1.xml><?xml version="1.0" encoding="utf-8"?>
<x:table xmlns:x="http://schemas.openxmlformats.org/spreadsheetml/2006/main" id="1" name="CityPriorityTable" displayName="CityPriorityTable" ref="A4:J24" headerRowCount="1" totalsRowCount="0" totalsRowShown="0">
  <x:autoFilter ref="A4:J24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138" headerRowCount="1" totalsRowCount="0" totalsRowShown="0">
  <x:autoFilter ref="A4:U138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44" headerRowCount="1" totalsRowCount="0" totalsRowShown="0">
  <x:autoFilter ref="A4:K44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53ab7f683645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e58c78b79a47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38e036a18e47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29774581b7640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753ab7f683645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튀김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D 보류</x:v>
      </x:c>
      <x:c r="O21" s="32" t="str">
        <x:v>아니오</x:v>
      </x:c>
      <x:c r="P21" s="32" t="str">
        <x:v>보류</x:v>
      </x:c>
      <x:c r="Q21" s="40" t="n">
        <x:v>46298</x:v>
      </x:c>
      <x:c r="R21" s="32" t="str">
        <x:v>2026</x:v>
      </x:c>
      <x:c r="S21" s="21" t="str">
        <x:v>Restaurant menu PDF</x:v>
      </x:c>
      <x:c r="T21" s="42" t="str">
        <x:v>https://www.osaka-info.jp/en/gourmet/</x:v>
      </x:c>
      <x:c r="U21" s="21" t="str">
        <x:v>v0.4 보류: 기존 1980–1980 JPY는 공식 가격으로 확인되지 않아 계산에서 제외. 개별 식당의 공식 메뉴·현재가를 찾지 못함. 관광 안내의 일반 항목 가격은 모델에 사용하지 않음.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D 보류</x:v>
      </x:c>
      <x:c r="O70" s="33" t="str">
        <x:v>아니오</x:v>
      </x:c>
      <x:c r="P70" s="33" t="str">
        <x:v>보류</x:v>
      </x:c>
      <x:c r="Q70" s="41" t="n">
        <x:v>46298</x:v>
      </x:c>
      <x:c r="R70" s="33" t="str">
        <x:v>2026</x:v>
      </x:c>
      <x:c r="S70" s="22" t="str">
        <x:v>Paris shop menu sample</x:v>
      </x:c>
      <x:c r="T70" s="43" t="str">
        <x:v>https://parisjetaime.com/eng/article/what-to-eat-in-paris-a954</x:v>
      </x:c>
      <x:c r="U70" s="22" t="str">
        <x:v>v0.4 보류: 기존 3.2–3.7 EUR는 공식 가격으로 확인되지 않아 계산에서 제외. 관광 안내와 메뉴 사례만 확인되며 판매자 공식 페이지의 낱개 가격을 찾지 못함.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19e58c78b79a47e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038e036a18e47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13</x:v>
      </x:c>
      <x:c r="I6" s="33" t="n">
        <x:f>COUNTIFS('가격 표본'!$C$5:$C$150,B6,'가격 표본'!$O$5:$O$150,"예")</x:f>
        <x:v>11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5</x:v>
      </x:c>
      <x:c r="H7" s="32" t="n">
        <x:f>COUNTIFS('가격 표본'!$C$5:$C$150,B7,'가격 표본'!$N$5:$N$150,"A 공식")</x:f>
        <x:v>11</x:v>
      </x:c>
      <x:c r="I7" s="32" t="n">
        <x:f>COUNTIFS('가격 표본'!$C$5:$C$150,B7,'가격 표본'!$O$5:$O$150,"예")</x:f>
        <x:v>11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4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9</x:v>
      </x:c>
      <x:c r="I8" s="33" t="n">
        <x:f>COUNTIFS('가격 표본'!$C$5:$C$150,B8,'가격 표본'!$O$5:$O$150,"예")</x:f>
        <x:v>8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3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15</x:v>
      </x:c>
      <x:c r="I9" s="32" t="n">
        <x:f>COUNTIFS('가격 표본'!$C$5:$C$150,B9,'가격 표본'!$O$5:$O$150,"예")</x:f>
        <x:v>15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5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3</x:v>
      </x:c>
      <x:c r="H10" s="33" t="n">
        <x:f>COUNTIFS('가격 표본'!$C$5:$C$150,B10,'가격 표본'!$N$5:$N$150,"A 공식")</x:f>
        <x:v>10</x:v>
      </x:c>
      <x:c r="I10" s="33" t="n">
        <x:f>COUNTIFS('가격 표본'!$C$5:$C$150,B10,'가격 표본'!$O$5:$O$150,"예")</x:f>
        <x:v>10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16</x:v>
      </x:c>
      <x:c r="I11" s="32" t="n">
        <x:f>COUNTIFS('가격 표본'!$C$5:$C$150,B11,'가격 표본'!$O$5:$O$150,"예")</x:f>
        <x:v>14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29774581b764088"/>
  </x:tableParts>
</x:worksheet>
</file>