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3eb8aa65e4e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조사 기준" sheetId="1" r:id="R049ab73ea1894a70"/>
    <x:sheet xmlns:r="http://schemas.openxmlformats.org/officeDocument/2006/relationships" name="도시 우선순위" sheetId="2" r:id="Rafa3d5faf8cf4b93"/>
    <x:sheet xmlns:r="http://schemas.openxmlformats.org/officeDocument/2006/relationships" name="가격 표본" sheetId="3" r:id="R65a3ef473d174825"/>
    <x:sheet xmlns:r="http://schemas.openxmlformats.org/officeDocument/2006/relationships" name="음식 추천" sheetId="4" r:id="Rfd67fbe5518e4d35"/>
    <x:sheet xmlns:r="http://schemas.openxmlformats.org/officeDocument/2006/relationships" name="도시 초안" sheetId="5" r:id="Ra7211582ad5d49b9"/>
    <x:sheet xmlns:r="http://schemas.openxmlformats.org/officeDocument/2006/relationships" name="다음 조사 큐" sheetId="6" r:id="R57dd66a7813246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yyyy-mm-dd"/>
    <x:numFmt numFmtId="202" formatCode="0%"/>
  </x:numFmts>
  <x:fonts count="8">
    <x:font>
      <x:sz val="11"/>
      <x:name val="Carlito"/>
    </x:font>
    <x:font>
      <x:b/>
      <x:sz val="18"/>
      <x:color rgb="FFFFFFFF"/>
      <x:name val="Noto Sans CJK KR"/>
    </x:font>
    <x:font>
      <x:sz val="10"/>
      <x:color rgb="FF1F2937"/>
      <x:name val="Noto Sans CJK KR"/>
    </x:font>
    <x:font>
      <x:b/>
      <x:sz val="10"/>
      <x:color rgb="FFFFFFFF"/>
      <x:name val="Noto Sans CJK KR"/>
    </x:font>
    <x:font>
      <x:sz val="9"/>
      <x:color rgb="FF1F2937"/>
      <x:name val="Noto Sans CJK KR"/>
    </x:font>
    <x:font>
      <x:sz val="9"/>
      <x:color rgb="FF0563C1"/>
      <x:name val="Noto Sans CJK KR"/>
    </x:font>
    <x:font>
      <x:sz val="8"/>
      <x:color rgb="FF0563C1"/>
      <x:name val="Noto Sans CJK KR"/>
    </x:font>
    <x:font>
      <x:sz val="11"/>
      <x:name val="Noto Sans CJK KR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6D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C9D3DF"/>
      </x:left>
      <x:right style="thin">
        <x:color rgb="FFC9D3DF"/>
      </x:right>
      <x:top style="thin">
        <x:color rgb="FFC9D3DF"/>
      </x:top>
      <x:bottom style="thin">
        <x:color rgb="FFC9D3DF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7" borderId="1" xfId="0" applyNumberFormat="1" applyFont="1" applyFill="1" applyBorder="1" applyAlignment="1">
      <x:alignment vertical="center"/>
    </x:xf>
    <x:xf numFmtId="0" fontId="4" fillId="8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horizontal="right" vertical="center"/>
    </x:xf>
    <x:xf numFmtId="200" fontId="4" fillId="5" borderId="1" xfId="0" applyNumberFormat="1" applyFont="1" applyFill="1" applyBorder="1" applyAlignment="1">
      <x:alignment horizontal="right" vertical="center"/>
    </x:xf>
    <x:xf numFmtId="201" fontId="4" fillId="0" borderId="1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3"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73ee16130447d" /><Relationship Type="http://schemas.openxmlformats.org/officeDocument/2006/relationships/theme" Target="/xl/theme/theme1.xml" Id="Rdc5cfb0f873d4fc3" /><Relationship Type="http://schemas.openxmlformats.org/officeDocument/2006/relationships/sharedStrings" Target="/xl/sharedStrings.xml" Id="Rf8461eb68e30405d" /><Relationship Type="http://schemas.openxmlformats.org/officeDocument/2006/relationships/worksheet" Target="/xl/worksheets/sheet1.xml" Id="R049ab73ea1894a70" /><Relationship Type="http://schemas.openxmlformats.org/officeDocument/2006/relationships/worksheet" Target="/xl/worksheets/sheet2.xml" Id="Rafa3d5faf8cf4b93" /><Relationship Type="http://schemas.openxmlformats.org/officeDocument/2006/relationships/worksheet" Target="/xl/worksheets/sheet3.xml" Id="R65a3ef473d174825" /><Relationship Type="http://schemas.openxmlformats.org/officeDocument/2006/relationships/worksheet" Target="/xl/worksheets/sheet4.xml" Id="Rfd67fbe5518e4d35" /><Relationship Type="http://schemas.openxmlformats.org/officeDocument/2006/relationships/worksheet" Target="/xl/worksheets/sheet5.xml" Id="Ra7211582ad5d49b9" /><Relationship Type="http://schemas.openxmlformats.org/officeDocument/2006/relationships/worksheet" Target="/xl/worksheets/sheet6.xml" Id="R57dd66a78132464c" /></Relationships>
</file>

<file path=xl/tables/table1.xml><?xml version="1.0" encoding="utf-8"?>
<x:table xmlns:x="http://schemas.openxmlformats.org/spreadsheetml/2006/main" id="1" name="CityPriorityTable" displayName="CityPriorityTable" ref="A4:J25" headerRowCount="1" totalsRowCount="0" totalsRowShown="0">
  <x:autoFilter ref="A4:J25"/>
  <x:tableColumns count="10">
    <x:tableColumn id="1" name="순번"/>
    <x:tableColumn id="2" name="등급"/>
    <x:tableColumn id="3" name="국가"/>
    <x:tableColumn id="4" name="도시(한글)"/>
    <x:tableColumn id="5" name="City"/>
    <x:tableColumn id="6" name="통화"/>
    <x:tableColumn id="7" name="선정 근거"/>
    <x:tableColumn id="8" name="조사 단계"/>
    <x:tableColumn id="9" name="상태"/>
    <x:tableColumn id="10" name="근거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ceObservationTable" displayName="PriceObservationTable" ref="A4:U252" headerRowCount="1" totalsRowCount="0" totalsRowShown="0">
  <x:autoFilter ref="A4:U252"/>
  <x:tableColumns count="21">
    <x:tableColumn id="1" name="ID"/>
    <x:tableColumn id="2" name="국가"/>
    <x:tableColumn id="3" name="도시"/>
    <x:tableColumn id="4" name="카테고리"/>
    <x:tableColumn id="5" name="세부유형"/>
    <x:tableColumn id="6" name="항목(한글)"/>
    <x:tableColumn id="7" name="Item (English)"/>
    <x:tableColumn id="8" name="최소"/>
    <x:tableColumn id="9" name="최대"/>
    <x:tableColumn id="10" name="통화"/>
    <x:tableColumn id="11" name="단위"/>
    <x:tableColumn id="12" name="가격형태"/>
    <x:tableColumn id="13" name="대상"/>
    <x:tableColumn id="14" name="출처등급"/>
    <x:tableColumn id="15" name="모델사용"/>
    <x:tableColumn id="16" name="상태"/>
    <x:tableColumn id="17" name="조회일"/>
    <x:tableColumn id="18" name="적용/게시"/>
    <x:tableColumn id="19" name="출처명"/>
    <x:tableColumn id="20" name="출처 URL"/>
    <x:tableColumn id="21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odRecommendationTable" displayName="FoodRecommendationTable" ref="A4:K52" headerRowCount="1" totalsRowCount="0" totalsRowShown="0">
  <x:autoFilter ref="A4:K52"/>
  <x:tableColumns count="11">
    <x:tableColumn id="1" name="국가"/>
    <x:tableColumn id="2" name="도시"/>
    <x:tableColumn id="3" name="음식(한글)"/>
    <x:tableColumn id="4" name="Food"/>
    <x:tableColumn id="5" name="추천 이유"/>
    <x:tableColumn id="6" name="예산대"/>
    <x:tableColumn id="7" name="연결 가격 ID"/>
    <x:tableColumn id="8" name="가격조사 상태"/>
    <x:tableColumn id="9" name="추천 출처"/>
    <x:tableColumn id="10" name="출처 URL"/>
    <x:tableColumn id="11" name="비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QueueTable" displayName="ResearchQueueTable" ref="A4:I20" headerRowCount="1" totalsRowCount="0" totalsRowShown="0">
  <x:autoFilter ref="A4:I20"/>
  <x:tableColumns count="9">
    <x:tableColumn id="1" name="우선순위"/>
    <x:tableColumn id="2" name="도시"/>
    <x:tableColumn id="3" name="카테고리"/>
    <x:tableColumn id="4" name="조사 과제"/>
    <x:tableColumn id="5" name="필요 표본"/>
    <x:tableColumn id="6" name="직접 출처 후보"/>
    <x:tableColumn id="7" name="완료 조건"/>
    <x:tableColumn id="8" name="상태"/>
    <x:tableColumn id="9" name="메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f69405a1c246d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dbf69bfc8640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d8ff69e05d48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e8b624a0fe24e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38" hidden="0" customWidth="1"/>
    <x:col min="4" max="4" width="18" hidden="0" customWidth="1"/>
    <x:col min="5" max="5" width="16" hidden="0" customWidth="1"/>
    <x:col min="6" max="6" width="17" hidden="0" customWidth="1"/>
    <x:col min="7" max="7" width="28" hidden="0" customWidth="1"/>
    <x:col min="8" max="8" width="36" hidden="0" customWidth="1"/>
  </x:cols>
  <x:sheetData>
    <x:row r="1" ht="34" customHeight="1">
      <x:c r="A1" s="3" t="str">
        <x:v>여행 체류비 데이터베이스 — 조사 기준 v0.4</x:v>
      </x:c>
      <x:c r="B1" s="3"/>
      <x:c r="C1" s="3"/>
      <x:c r="D1" s="3"/>
      <x:c r="E1" s="3"/>
      <x:c r="F1" s="3"/>
      <x:c r="G1" s="3"/>
      <x:c r="H1" s="3"/>
    </x:row>
    <x:row r="2" ht="30" customHeight="1">
      <x:c r="A2" s="6" t="str">
        <x:v>목표: 외부 평균값을 복사하지 않고, 현지 통화로 확인 가능한 가격 표본을 축적해 도시별 여행 예산 범위를 산정한다. 기준일 2026-10-03.</x:v>
      </x:c>
      <x:c r="B2" s="6"/>
      <x:c r="C2" s="6"/>
      <x:c r="D2" s="6"/>
      <x:c r="E2" s="6"/>
      <x:c r="F2" s="6"/>
      <x:c r="G2" s="6"/>
      <x:c r="H2" s="6"/>
    </x:row>
    <x:row r="4" ht="34" customHeight="1">
      <x:c r="A4" s="12" t="str">
        <x:v>구분</x:v>
      </x:c>
      <x:c r="B4" s="12" t="str">
        <x:v>원칙</x:v>
      </x:c>
      <x:c r="C4" s="12" t="str">
        <x:v>실행 규칙</x:v>
      </x:c>
      <x:c r="D4" s="12" t="str">
        <x:v>저장 단위</x:v>
      </x:c>
      <x:c r="E4" s="12" t="str">
        <x:v>최종 계산 반영</x:v>
      </x:c>
      <x:c r="F4" s="12" t="str">
        <x:v>갱신 주기</x:v>
      </x:c>
      <x:c r="G4" s="12" t="str">
        <x:v>검증 조건</x:v>
      </x:c>
      <x:c r="H4" s="12" t="str">
        <x:v>비고</x:v>
      </x:c>
    </x:row>
    <x:row r="5" ht="38" customHeight="1">
      <x:c r="A5" s="21" t="str">
        <x:v>범위</x:v>
      </x:c>
      <x:c r="B5" s="21" t="str">
        <x:v>현지 체류비 우선</x:v>
      </x:c>
      <x:c r="C5" s="21" t="str">
        <x:v>외식·현지교통·관광·기념품부터 구축</x:v>
      </x:c>
      <x:c r="D5" s="21" t="str">
        <x:v>도시/현지통화</x:v>
      </x:c>
      <x:c r="E5" s="21" t="str">
        <x:v>예</x:v>
      </x:c>
      <x:c r="F5" s="21" t="str">
        <x:v>카테고리별</x:v>
      </x:c>
      <x:c r="G5" s="21" t="str">
        <x:v>도시당 각 비용군 3개 이상</x:v>
      </x:c>
      <x:c r="H5" s="21" t="str">
        <x:v>항공·숙박은 별도 동적 모듈로 2단계</x:v>
      </x:c>
    </x:row>
    <x:row r="6" ht="38" customHeight="1">
      <x:c r="A6" s="22" t="str">
        <x:v>가격</x:v>
      </x:c>
      <x:c r="B6" s="22" t="str">
        <x:v>원자료 보존</x:v>
      </x:c>
      <x:c r="C6" s="22" t="str">
        <x:v>환산액이 아니라 조회 당시 현지통화 금액을 저장</x:v>
      </x:c>
      <x:c r="D6" s="22" t="str">
        <x:v>최소값/최대값</x:v>
      </x:c>
      <x:c r="E6" s="22" t="str">
        <x:v>예</x:v>
      </x:c>
      <x:c r="F6" s="22" t="str">
        <x:v>변경 감지 시</x:v>
      </x:c>
      <x:c r="G6" s="22" t="str">
        <x:v>숫자·단위·대상자 확인</x:v>
      </x:c>
      <x:c r="H6" s="22" t="str">
        <x:v>환율은 요청 시점에 계산</x:v>
      </x:c>
    </x:row>
    <x:row r="7" ht="38" customHeight="1">
      <x:c r="A7" s="21" t="str">
        <x:v>통화</x:v>
      </x:c>
      <x:c r="B7" s="21" t="str">
        <x:v>언어와 분리</x:v>
      </x:c>
      <x:c r="C7" s="21" t="str">
        <x:v>표시 언어와 사용자의 기준 통화를 독립 선택</x:v>
      </x:c>
      <x:c r="D7" s="21" t="str">
        <x:v>ISO 4217</x:v>
      </x:c>
      <x:c r="E7" s="21" t="str">
        <x:v>예</x:v>
      </x:c>
      <x:c r="F7" s="21" t="str">
        <x:v>환율 일별</x:v>
      </x:c>
      <x:c r="G7" s="21" t="str">
        <x:v>현지통화→선택통화 및 USD 참고값</x:v>
      </x:c>
      <x:c r="H7" s="21" t="str">
        <x:v>한국어 사용자도 KRW 강제 없음</x:v>
      </x:c>
    </x:row>
    <x:row r="8" ht="38" customHeight="1">
      <x:c r="A8" s="22" t="str">
        <x:v>출처</x:v>
      </x:c>
      <x:c r="B8" s="22" t="str">
        <x:v>직접 확인</x:v>
      </x:c>
      <x:c r="C8" s="22" t="str">
        <x:v>운영기관·관광지·식당·상점의 공식 가격을 최우선</x:v>
      </x:c>
      <x:c r="D8" s="22" t="str">
        <x:v>URL+조회일</x:v>
      </x:c>
      <x:c r="E8" s="22" t="str">
        <x:v>예</x:v>
      </x:c>
      <x:c r="F8" s="22" t="str">
        <x:v>분기/반기</x:v>
      </x:c>
      <x:c r="G8" s="22" t="str">
        <x:v>원문에서 가격 확인</x:v>
      </x:c>
      <x:c r="H8" s="22" t="str">
        <x:v>다른 예산 계산 사이트의 평균값 사용 금지</x:v>
      </x:c>
    </x:row>
    <x:row r="9" ht="38" customHeight="1">
      <x:c r="A9" s="21" t="str">
        <x:v>교차검증</x:v>
      </x:c>
      <x:c r="B9" s="21" t="str">
        <x:v>보조 출처 분리</x:v>
      </x:c>
      <x:c r="C9" s="21" t="str">
        <x:v>관광청·지자체·현행 메뉴 캡처는 보완 자료</x:v>
      </x:c>
      <x:c r="D9" s="21" t="str">
        <x:v>출처등급</x:v>
      </x:c>
      <x:c r="E9" s="21" t="str">
        <x:v>조건부</x:v>
      </x:c>
      <x:c r="F9" s="21" t="str">
        <x:v>분기</x:v>
      </x:c>
      <x:c r="G9" s="21" t="str">
        <x:v>직접 출처 1개 이상 추가</x:v>
      </x:c>
      <x:c r="H9" s="21" t="str">
        <x:v>C등급은 범위 확정 전에 재검증</x:v>
      </x:c>
    </x:row>
    <x:row r="10" ht="38" customHeight="1">
      <x:c r="A10" s="22" t="str">
        <x:v>방문시기</x:v>
      </x:c>
      <x:c r="B10" s="22" t="str">
        <x:v>항목별 보정</x:v>
      </x:c>
      <x:c r="C10" s="22" t="str">
        <x:v>날짜 보정은 변동 가능 항목에만 적용</x:v>
      </x:c>
      <x:c r="D10" s="22" t="str">
        <x:v>가격형태</x:v>
      </x:c>
      <x:c r="E10" s="22" t="str">
        <x:v>예</x:v>
      </x:c>
      <x:c r="F10" s="22" t="str">
        <x:v>행사/시즌 전</x:v>
      </x:c>
      <x:c r="G10" s="22" t="str">
        <x:v>고정형과 변동형 분리</x:v>
      </x:c>
      <x:c r="H10" s="22" t="str">
        <x:v>전체 물가에 일괄 계절계수 적용 금지</x:v>
      </x:c>
    </x:row>
    <x:row r="11" ht="38" customHeight="1">
      <x:c r="A11" s="21" t="str">
        <x:v>추천음식</x:v>
      </x:c>
      <x:c r="B11" s="21" t="str">
        <x:v>가격과 정체성 분리</x:v>
      </x:c>
      <x:c r="C11" s="21" t="str">
        <x:v>관광청은 음식 추천 근거, 메뉴는 가격 근거로 사용</x:v>
      </x:c>
      <x:c r="D11" s="21" t="str">
        <x:v>음식명/가격표본ID</x:v>
      </x:c>
      <x:c r="E11" s="21" t="str">
        <x:v>예</x:v>
      </x:c>
      <x:c r="F11" s="21" t="str">
        <x:v>반기</x:v>
      </x:c>
      <x:c r="G11" s="21" t="str">
        <x:v>도시 대표성+가격표본 연결</x:v>
      </x:c>
      <x:c r="H11" s="21" t="str">
        <x:v>유명하다는 사실과 가격은 별도 검증</x:v>
      </x:c>
    </x:row>
    <x:row r="12" ht="38" customHeight="1">
      <x:c r="A12" s="22" t="str">
        <x:v>신뢰도</x:v>
      </x:c>
      <x:c r="B12" s="22" t="str">
        <x:v>표본 수 공개</x:v>
      </x:c>
      <x:c r="C12" s="22" t="str">
        <x:v>도시·카테고리별 표본 수와 누락 항목 노출</x:v>
      </x:c>
      <x:c r="D12" s="22" t="str">
        <x:v>상태값</x:v>
      </x:c>
      <x:c r="E12" s="22" t="str">
        <x:v>예</x:v>
      </x:c>
      <x:c r="F12" s="22" t="str">
        <x:v>매 릴리스</x:v>
      </x:c>
      <x:c r="G12" s="22" t="str">
        <x:v>충족률 75% 이상</x:v>
      </x:c>
      <x:c r="H12" s="22" t="str">
        <x:v>부족한 도시는 단정적 평균을 제공하지 않음</x:v>
      </x:c>
    </x:row>
    <x:row r="13" ht="38" customHeight="1">
      <x:c r="A13" s="23"/>
      <x:c r="B13" s="23"/>
      <x:c r="C13" s="23"/>
      <x:c r="D13" s="23"/>
      <x:c r="E13" s="23"/>
      <x:c r="F13" s="23"/>
      <x:c r="G13" s="23"/>
      <x:c r="H13" s="23"/>
    </x:row>
    <x:row r="14" ht="38" customHeight="1">
      <x:c r="A14" s="23"/>
      <x:c r="B14" s="23"/>
      <x:c r="C14" s="23"/>
      <x:c r="D14" s="23"/>
      <x:c r="E14" s="23"/>
      <x:c r="F14" s="23"/>
      <x:c r="G14" s="23"/>
      <x:c r="H14" s="23"/>
    </x:row>
    <x:row r="15" ht="38" customHeight="1">
      <x:c r="A15" s="12" t="str">
        <x:v>출처 등급</x:v>
      </x:c>
      <x:c r="B15" s="12" t="str">
        <x:v>정의</x:v>
      </x:c>
      <x:c r="C15" s="12" t="str">
        <x:v>모델 사용</x:v>
      </x:c>
      <x:c r="D15" s="12" t="str">
        <x:v>예시</x:v>
      </x:c>
      <x:c r="E15" s="23"/>
      <x:c r="F15" s="12" t="str">
        <x:v>비용군</x:v>
      </x:c>
      <x:c r="G15" s="12" t="str">
        <x:v>권장 갱신</x:v>
      </x:c>
      <x:c r="H15" s="12" t="str">
        <x:v>방문일 영향</x:v>
      </x:c>
    </x:row>
    <x:row r="16" ht="38" customHeight="1">
      <x:c r="A16" s="24" t="str">
        <x:v>A 공식</x:v>
      </x:c>
      <x:c r="B16" s="21" t="str">
        <x:v>가격을 실제 판매·운영하는 주체</x:v>
      </x:c>
      <x:c r="C16" s="21" t="str">
        <x:v>예</x:v>
      </x:c>
      <x:c r="D16" s="21" t="str">
        <x:v>교통 운영사, 관광지, 식당·브랜드 공식 메뉴</x:v>
      </x:c>
      <x:c r="E16" s="23"/>
      <x:c r="F16" s="21" t="str">
        <x:v>외식</x:v>
      </x:c>
      <x:c r="G16" s="21" t="str">
        <x:v>분기</x:v>
      </x:c>
      <x:c r="H16" s="21" t="str">
        <x:v>행사·시즌 메뉴만 영향</x:v>
      </x:c>
    </x:row>
    <x:row r="17" ht="38" customHeight="1">
      <x:c r="A17" s="25" t="str">
        <x:v>B 공공</x:v>
      </x:c>
      <x:c r="B17" s="21" t="str">
        <x:v>관광청·지자체·정부기관의 현행 안내</x:v>
      </x:c>
      <x:c r="C17" s="21" t="str">
        <x:v>조건부</x:v>
      </x:c>
      <x:c r="D17" s="21" t="str">
        <x:v>도시 교통/관광 안내, 공식 관광 콘텐츠</x:v>
      </x:c>
      <x:c r="E17" s="23"/>
      <x:c r="F17" s="21" t="str">
        <x:v>교통</x:v>
      </x:c>
      <x:c r="G17" s="21" t="str">
        <x:v>반기 또는 요금개정 즉시</x:v>
      </x:c>
      <x:c r="H17" s="21" t="str">
        <x:v>대체로 고정</x:v>
      </x:c>
    </x:row>
    <x:row r="18" ht="38" customHeight="1">
      <x:c r="A18" s="26" t="str">
        <x:v>C 보조</x:v>
      </x:c>
      <x:c r="B18" s="21" t="str">
        <x:v>현행 매장 목록·리테일러·배달/메뉴 캡처</x:v>
      </x:c>
      <x:c r="C18" s="21" t="str">
        <x:v>조건부</x:v>
      </x:c>
      <x:c r="D18" s="21" t="str">
        <x:v>공식 페이지 부재 시 교차검증</x:v>
      </x:c>
      <x:c r="E18" s="23"/>
      <x:c r="F18" s="21" t="str">
        <x:v>관광</x:v>
      </x:c>
      <x:c r="G18" s="21" t="str">
        <x:v>분기</x:v>
      </x:c>
      <x:c r="H18" s="21" t="str">
        <x:v>예약일·성수기·수요에 따라 변동 가능</x:v>
      </x:c>
    </x:row>
    <x:row r="19" ht="38" customHeight="1">
      <x:c r="A19" s="27" t="str">
        <x:v>D 보류</x:v>
      </x:c>
      <x:c r="B19" s="21" t="str">
        <x:v>날짜·판매처·단위 중 하나가 불명확</x:v>
      </x:c>
      <x:c r="C19" s="21" t="str">
        <x:v>아니오</x:v>
      </x:c>
      <x:c r="D19" s="21" t="str">
        <x:v>오래된 PDF, 출처 불명 요약</x:v>
      </x:c>
      <x:c r="E19" s="23"/>
      <x:c r="F19" s="21" t="str">
        <x:v>기념품</x:v>
      </x:c>
      <x:c r="G19" s="21" t="str">
        <x:v>반기</x:v>
      </x:c>
      <x:c r="H19" s="21" t="str">
        <x:v>프로모션·한정판 영향</x:v>
      </x:c>
    </x:row>
    <x:row r="20" ht="38" customHeight="1">
      <x:c r="A20" s="23"/>
      <x:c r="B20" s="23"/>
      <x:c r="C20" s="23"/>
      <x:c r="D20" s="23"/>
      <x:c r="E20" s="23"/>
      <x:c r="F20" s="21" t="str">
        <x:v>숙박(2단계)</x:v>
      </x:c>
      <x:c r="G20" s="21" t="str">
        <x:v>주/월</x:v>
      </x:c>
      <x:c r="H20" s="21" t="str">
        <x:v>방문일 영향 매우 큼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8" hidden="0" customWidth="1"/>
    <x:col min="3" max="3" width="15" hidden="0" customWidth="1"/>
    <x:col min="4" max="4" width="14" hidden="0" customWidth="1"/>
    <x:col min="5" max="5" width="16" hidden="0" customWidth="1"/>
    <x:col min="6" max="6" width="9" hidden="0" customWidth="1"/>
    <x:col min="7" max="7" width="32" hidden="0" customWidth="1"/>
    <x:col min="8" max="8" width="11" hidden="0" customWidth="1"/>
    <x:col min="9" max="9" width="10" hidden="0" customWidth="1"/>
    <x:col min="10" max="10" width="45" hidden="0" customWidth="1"/>
  </x:cols>
  <x:sheetData>
    <x:row r="1" ht="34" customHeight="1">
      <x:c r="A1" s="3" t="str">
        <x:v>도시 조사 우선순위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6" t="str">
        <x:v>1차 8개 도시는 지역·통화·여행 형태를 넓게 분산한 파일럿이다. 2차부터 한국 수요 상위 도시와 세계 방문객 상위 도시를 순차 확대한다.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 ht="34" customHeight="1">
      <x:c r="A4" s="12" t="str">
        <x:v>순번</x:v>
      </x:c>
      <x:c r="B4" s="12" t="str">
        <x:v>등급</x:v>
      </x:c>
      <x:c r="C4" s="12" t="str">
        <x:v>국가</x:v>
      </x:c>
      <x:c r="D4" s="12" t="str">
        <x:v>도시(한글)</x:v>
      </x:c>
      <x:c r="E4" s="12" t="str">
        <x:v>City</x:v>
      </x:c>
      <x:c r="F4" s="12" t="str">
        <x:v>통화</x:v>
      </x:c>
      <x:c r="G4" s="12" t="str">
        <x:v>선정 근거</x:v>
      </x:c>
      <x:c r="H4" s="12" t="str">
        <x:v>조사 단계</x:v>
      </x:c>
      <x:c r="I4" s="12" t="str">
        <x:v>상태</x:v>
      </x:c>
      <x:c r="J4" s="12" t="str">
        <x:v>근거 URL</x:v>
      </x:c>
    </x:row>
    <x:row r="5">
      <x:c r="A5" s="32" t="n">
        <x:v>1</x:v>
      </x:c>
      <x:c r="B5" s="15" t="str">
        <x:v>A</x:v>
      </x:c>
      <x:c r="C5" s="15" t="str">
        <x:v>일본</x:v>
      </x:c>
      <x:c r="D5" s="15" t="str">
        <x:v>도쿄</x:v>
      </x:c>
      <x:c r="E5" s="15" t="str">
        <x:v>Tokyo</x:v>
      </x:c>
      <x:c r="F5" s="15" t="str">
        <x:v>JPY</x:v>
      </x:c>
      <x:c r="G5" s="21" t="str">
        <x:v>한국 수요 1위·대도시 기준점</x:v>
      </x:c>
      <x:c r="H5" s="21" t="str">
        <x:v>파일럿</x:v>
      </x:c>
      <x:c r="I5" s="21" t="str">
        <x:v>진행</x:v>
      </x:c>
      <x:c r="J5" s="30" t="str">
        <x:v>https://www.hankyung.com/article/202512166494K</x:v>
      </x:c>
    </x:row>
    <x:row r="6">
      <x:c r="A6" s="33" t="n">
        <x:v>2</x:v>
      </x:c>
      <x:c r="B6" s="16" t="str">
        <x:v>A</x:v>
      </x:c>
      <x:c r="C6" s="16" t="str">
        <x:v>일본</x:v>
      </x:c>
      <x:c r="D6" s="16" t="str">
        <x:v>오사카</x:v>
      </x:c>
      <x:c r="E6" s="16" t="str">
        <x:v>Osaka</x:v>
      </x:c>
      <x:c r="F6" s="16" t="str">
        <x:v>JPY</x:v>
      </x:c>
      <x:c r="G6" s="22" t="str">
        <x:v>한국 수요 상위·먹거리 도시</x:v>
      </x:c>
      <x:c r="H6" s="22" t="str">
        <x:v>파일럿</x:v>
      </x:c>
      <x:c r="I6" s="22" t="str">
        <x:v>진행</x:v>
      </x:c>
      <x:c r="J6" s="31" t="str">
        <x:v>https://www.hankyung.com/article/202512166494K</x:v>
      </x:c>
    </x:row>
    <x:row r="7">
      <x:c r="A7" s="32" t="n">
        <x:v>3</x:v>
      </x:c>
      <x:c r="B7" s="15" t="str">
        <x:v>A</x:v>
      </x:c>
      <x:c r="C7" s="15" t="str">
        <x:v>태국</x:v>
      </x:c>
      <x:c r="D7" s="15" t="str">
        <x:v>방콕</x:v>
      </x:c>
      <x:c r="E7" s="15" t="str">
        <x:v>Bangkok</x:v>
      </x:c>
      <x:c r="F7" s="15" t="str">
        <x:v>THB</x:v>
      </x:c>
      <x:c r="G7" s="21" t="str">
        <x:v>한국 수요 상위·세계 방문객 상위</x:v>
      </x:c>
      <x:c r="H7" s="21" t="str">
        <x:v>파일럿</x:v>
      </x:c>
      <x:c r="I7" s="21" t="str">
        <x:v>진행</x:v>
      </x:c>
      <x:c r="J7" s="30" t="str">
        <x:v>https://www.euromonitor.com/article/top-100-city-destinations-index-2025-driving-growth-and-innovation</x:v>
      </x:c>
    </x:row>
    <x:row r="8">
      <x:c r="A8" s="33" t="n">
        <x:v>4</x:v>
      </x:c>
      <x:c r="B8" s="16" t="str">
        <x:v>A</x:v>
      </x:c>
      <x:c r="C8" s="16" t="str">
        <x:v>베트남</x:v>
      </x:c>
      <x:c r="D8" s="16" t="str">
        <x:v>다낭</x:v>
      </x:c>
      <x:c r="E8" s="16" t="str">
        <x:v>Da Nang</x:v>
      </x:c>
      <x:c r="F8" s="16" t="str">
        <x:v>VND</x:v>
      </x:c>
      <x:c r="G8" s="22" t="str">
        <x:v>한국 수요 상위·휴양형</x:v>
      </x:c>
      <x:c r="H8" s="22" t="str">
        <x:v>파일럿</x:v>
      </x:c>
      <x:c r="I8" s="22" t="str">
        <x:v>진행</x:v>
      </x:c>
      <x:c r="J8" s="31" t="str">
        <x:v>https://www.hankyung.com/article/202512166494K</x:v>
      </x:c>
    </x:row>
    <x:row r="9">
      <x:c r="A9" s="32" t="n">
        <x:v>5</x:v>
      </x:c>
      <x:c r="B9" s="15" t="str">
        <x:v>A</x:v>
      </x:c>
      <x:c r="C9" s="15" t="str">
        <x:v>대만</x:v>
      </x:c>
      <x:c r="D9" s="15" t="str">
        <x:v>타이베이</x:v>
      </x:c>
      <x:c r="E9" s="15" t="str">
        <x:v>Taipei</x:v>
      </x:c>
      <x:c r="F9" s="15" t="str">
        <x:v>TWD</x:v>
      </x:c>
      <x:c r="G9" s="21" t="str">
        <x:v>한국 수요 상위·야시장형</x:v>
      </x:c>
      <x:c r="H9" s="21" t="str">
        <x:v>파일럿</x:v>
      </x:c>
      <x:c r="I9" s="21" t="str">
        <x:v>진행</x:v>
      </x:c>
      <x:c r="J9" s="30" t="str">
        <x:v>https://www.hankyung.com/article/202512166494K</x:v>
      </x:c>
    </x:row>
    <x:row r="10">
      <x:c r="A10" s="33" t="n">
        <x:v>6</x:v>
      </x:c>
      <x:c r="B10" s="16" t="str">
        <x:v>A</x:v>
      </x:c>
      <x:c r="C10" s="16" t="str">
        <x:v>싱가포르</x:v>
      </x:c>
      <x:c r="D10" s="16" t="str">
        <x:v>싱가포르</x:v>
      </x:c>
      <x:c r="E10" s="16" t="str">
        <x:v>Singapore</x:v>
      </x:c>
      <x:c r="F10" s="16" t="str">
        <x:v>SGD</x:v>
      </x:c>
      <x:c r="G10" s="22" t="str">
        <x:v>고물가 아시아 기준점</x:v>
      </x:c>
      <x:c r="H10" s="22" t="str">
        <x:v>파일럿</x:v>
      </x:c>
      <x:c r="I10" s="22" t="str">
        <x:v>진행</x:v>
      </x:c>
      <x:c r="J10" s="31" t="str">
        <x:v>https://www.euromonitor.com/article/top-100-city-destinations-index-2025-driving-growth-and-innovation</x:v>
      </x:c>
    </x:row>
    <x:row r="11">
      <x:c r="A11" s="32" t="n">
        <x:v>7</x:v>
      </x:c>
      <x:c r="B11" s="15" t="str">
        <x:v>A</x:v>
      </x:c>
      <x:c r="C11" s="15" t="str">
        <x:v>프랑스</x:v>
      </x:c>
      <x:c r="D11" s="15" t="str">
        <x:v>파리</x:v>
      </x:c>
      <x:c r="E11" s="15" t="str">
        <x:v>Paris</x:v>
      </x:c>
      <x:c r="F11" s="15" t="str">
        <x:v>EUR</x:v>
      </x:c>
      <x:c r="G11" s="21" t="str">
        <x:v>세계 방문객 상위·유럽 기준점</x:v>
      </x:c>
      <x:c r="H11" s="21" t="str">
        <x:v>파일럿</x:v>
      </x:c>
      <x:c r="I11" s="21" t="str">
        <x:v>진행</x:v>
      </x:c>
      <x:c r="J11" s="30" t="str">
        <x:v>https://www.euromonitor.com/article/top-100-city-destinations-index-2025-driving-growth-and-innovation</x:v>
      </x:c>
    </x:row>
    <x:row r="12">
      <x:c r="A12" s="33" t="n">
        <x:v>8</x:v>
      </x:c>
      <x:c r="B12" s="16" t="str">
        <x:v>A</x:v>
      </x:c>
      <x:c r="C12" s="16" t="str">
        <x:v>영국</x:v>
      </x:c>
      <x:c r="D12" s="16" t="str">
        <x:v>런던</x:v>
      </x:c>
      <x:c r="E12" s="16" t="str">
        <x:v>London</x:v>
      </x:c>
      <x:c r="F12" s="16" t="str">
        <x:v>GBP</x:v>
      </x:c>
      <x:c r="G12" s="22" t="str">
        <x:v>세계 방문객 상위·동적 관광요금</x:v>
      </x:c>
      <x:c r="H12" s="22" t="str">
        <x:v>파일럿</x:v>
      </x:c>
      <x:c r="I12" s="22" t="str">
        <x:v>진행</x:v>
      </x:c>
      <x:c r="J12" s="31" t="str">
        <x:v>https://www.euromonitor.com/article/top-100-city-destinations-index-2025-driving-growth-and-innovation</x:v>
      </x:c>
    </x:row>
    <x:row r="13">
      <x:c r="A13" s="32" t="n">
        <x:v>9</x:v>
      </x:c>
      <x:c r="B13" s="15" t="str">
        <x:v>B</x:v>
      </x:c>
      <x:c r="C13" s="15" t="str">
        <x:v>일본</x:v>
      </x:c>
      <x:c r="D13" s="15" t="str">
        <x:v>후쿠오카</x:v>
      </x:c>
      <x:c r="E13" s="15" t="str">
        <x:v>Fukuoka</x:v>
      </x:c>
      <x:c r="F13" s="15" t="str">
        <x:v>JPY</x:v>
      </x:c>
      <x:c r="G13" s="21" t="str">
        <x:v>한국 수요 2위</x:v>
      </x:c>
      <x:c r="H13" s="21" t="str">
        <x:v>2차</x:v>
      </x:c>
      <x:c r="I13" s="21" t="str">
        <x:v>대기</x:v>
      </x:c>
      <x:c r="J13" s="30" t="str">
        <x:v>https://www.hankyung.com/article/202512166494K</x:v>
      </x:c>
    </x:row>
    <x:row r="14">
      <x:c r="A14" s="33" t="n">
        <x:v>10</x:v>
      </x:c>
      <x:c r="B14" s="16" t="str">
        <x:v>B</x:v>
      </x:c>
      <x:c r="C14" s="16" t="str">
        <x:v>베트남</x:v>
      </x:c>
      <x:c r="D14" s="16" t="str">
        <x:v>나트랑</x:v>
      </x:c>
      <x:c r="E14" s="16" t="str">
        <x:v>Nha Trang</x:v>
      </x:c>
      <x:c r="F14" s="16" t="str">
        <x:v>VND</x:v>
      </x:c>
      <x:c r="G14" s="22" t="str">
        <x:v>한국 수요 상위</x:v>
      </x:c>
      <x:c r="H14" s="22" t="str">
        <x:v>2차</x:v>
      </x:c>
      <x:c r="I14" s="22" t="str">
        <x:v>대기</x:v>
      </x:c>
      <x:c r="J14" s="31" t="str">
        <x:v>https://www.hankyung.com/article/202512166494K</x:v>
      </x:c>
    </x:row>
    <x:row r="15">
      <x:c r="A15" s="32" t="n">
        <x:v>11</x:v>
      </x:c>
      <x:c r="B15" s="15" t="str">
        <x:v>B</x:v>
      </x:c>
      <x:c r="C15" s="15" t="str">
        <x:v>인도네시아</x:v>
      </x:c>
      <x:c r="D15" s="15" t="str">
        <x:v>발리</x:v>
      </x:c>
      <x:c r="E15" s="15" t="str">
        <x:v>Bali</x:v>
      </x:c>
      <x:c r="F15" s="15" t="str">
        <x:v>IDR</x:v>
      </x:c>
      <x:c r="G15" s="21" t="str">
        <x:v>한국 수요 상위·휴양형</x:v>
      </x:c>
      <x:c r="H15" s="21" t="str">
        <x:v>2차</x:v>
      </x:c>
      <x:c r="I15" s="21" t="str">
        <x:v>대기</x:v>
      </x:c>
      <x:c r="J15" s="30" t="str">
        <x:v>https://www.hankyung.com/article/202512166494K</x:v>
      </x:c>
    </x:row>
    <x:row r="16">
      <x:c r="A16" s="33" t="n">
        <x:v>12</x:v>
      </x:c>
      <x:c r="B16" s="16" t="str">
        <x:v>B</x:v>
      </x:c>
      <x:c r="C16" s="16" t="str">
        <x:v>일본</x:v>
      </x:c>
      <x:c r="D16" s="16" t="str">
        <x:v>삿포로</x:v>
      </x:c>
      <x:c r="E16" s="16" t="str">
        <x:v>Sapporo</x:v>
      </x:c>
      <x:c r="F16" s="16" t="str">
        <x:v>JPY</x:v>
      </x:c>
      <x:c r="G16" s="22" t="str">
        <x:v>한국 수요 상위·계절성</x:v>
      </x:c>
      <x:c r="H16" s="22" t="str">
        <x:v>2차</x:v>
      </x:c>
      <x:c r="I16" s="22" t="str">
        <x:v>대기</x:v>
      </x:c>
      <x:c r="J16" s="31" t="str">
        <x:v>https://www.hankyung.com/article/202512166494K</x:v>
      </x:c>
    </x:row>
    <x:row r="17">
      <x:c r="A17" s="32" t="n">
        <x:v>13</x:v>
      </x:c>
      <x:c r="B17" s="15" t="str">
        <x:v>B</x:v>
      </x:c>
      <x:c r="C17" s="15" t="str">
        <x:v>베트남</x:v>
      </x:c>
      <x:c r="D17" s="15" t="str">
        <x:v>푸꾸옥</x:v>
      </x:c>
      <x:c r="E17" s="15" t="str">
        <x:v>Phu Quoc</x:v>
      </x:c>
      <x:c r="F17" s="15" t="str">
        <x:v>VND</x:v>
      </x:c>
      <x:c r="G17" s="21" t="str">
        <x:v>한국 관심 증가·리조트형</x:v>
      </x:c>
      <x:c r="H17" s="21" t="str">
        <x:v>2차</x:v>
      </x:c>
      <x:c r="I17" s="21" t="str">
        <x:v>대기</x:v>
      </x:c>
      <x:c r="J17" s="30" t="str">
        <x:v>https://www.hankyung.com/article/202512166494K</x:v>
      </x:c>
    </x:row>
    <x:row r="18">
      <x:c r="A18" s="33" t="n">
        <x:v>14</x:v>
      </x:c>
      <x:c r="B18" s="16" t="str">
        <x:v>B</x:v>
      </x:c>
      <x:c r="C18" s="16" t="str">
        <x:v>중국 홍콩</x:v>
      </x:c>
      <x:c r="D18" s="16" t="str">
        <x:v>홍콩</x:v>
      </x:c>
      <x:c r="E18" s="16" t="str">
        <x:v>Hong Kong</x:v>
      </x:c>
      <x:c r="F18" s="16" t="str">
        <x:v>HKD</x:v>
      </x:c>
      <x:c r="G18" s="22" t="str">
        <x:v>세계 방문객 상위</x:v>
      </x:c>
      <x:c r="H18" s="22" t="str">
        <x:v>2차</x:v>
      </x:c>
      <x:c r="I18" s="22" t="str">
        <x:v>대기</x:v>
      </x:c>
      <x:c r="J18" s="31" t="str">
        <x:v>https://www.euromonitor.com/article/top-100-city-destinations-index-2025-driving-growth-and-innovation</x:v>
      </x:c>
    </x:row>
    <x:row r="19">
      <x:c r="A19" s="32" t="n">
        <x:v>15</x:v>
      </x:c>
      <x:c r="B19" s="15" t="str">
        <x:v>B</x:v>
      </x:c>
      <x:c r="C19" s="15" t="str">
        <x:v>말레이시아</x:v>
      </x:c>
      <x:c r="D19" s="15" t="str">
        <x:v>쿠알라룸푸르</x:v>
      </x:c>
      <x:c r="E19" s="15" t="str">
        <x:v>Kuala Lumpur</x:v>
      </x:c>
      <x:c r="F19" s="15" t="str">
        <x:v>MYR</x:v>
      </x:c>
      <x:c r="G19" s="21" t="str">
        <x:v>세계 방문객 상위</x:v>
      </x:c>
      <x:c r="H19" s="21" t="str">
        <x:v>2차</x:v>
      </x:c>
      <x:c r="I19" s="21" t="str">
        <x:v>대기</x:v>
      </x:c>
      <x:c r="J19" s="30" t="str">
        <x:v>https://www.euromonitor.com/article/top-100-city-destinations-index-2025-driving-growth-and-innovation</x:v>
      </x:c>
    </x:row>
    <x:row r="20">
      <x:c r="A20" s="33" t="n">
        <x:v>16</x:v>
      </x:c>
      <x:c r="B20" s="16" t="str">
        <x:v>B</x:v>
      </x:c>
      <x:c r="C20" s="16" t="str">
        <x:v>튀르키예</x:v>
      </x:c>
      <x:c r="D20" s="16" t="str">
        <x:v>이스탄불</x:v>
      </x:c>
      <x:c r="E20" s="16" t="str">
        <x:v>Istanbul</x:v>
      </x:c>
      <x:c r="F20" s="16" t="str">
        <x:v>TRY</x:v>
      </x:c>
      <x:c r="G20" s="22" t="str">
        <x:v>세계 방문객 상위·통화 변동</x:v>
      </x:c>
      <x:c r="H20" s="22" t="str">
        <x:v>2차</x:v>
      </x:c>
      <x:c r="I20" s="22" t="str">
        <x:v>대기</x:v>
      </x:c>
      <x:c r="J20" s="31" t="str">
        <x:v>https://www.euromonitor.com/article/top-100-city-destinations-index-2025-driving-growth-and-innovation</x:v>
      </x:c>
    </x:row>
    <x:row r="21">
      <x:c r="A21" s="32" t="n">
        <x:v>17</x:v>
      </x:c>
      <x:c r="B21" s="15" t="str">
        <x:v>B</x:v>
      </x:c>
      <x:c r="C21" s="15" t="str">
        <x:v>아랍에미리트</x:v>
      </x:c>
      <x:c r="D21" s="15" t="str">
        <x:v>두바이</x:v>
      </x:c>
      <x:c r="E21" s="15" t="str">
        <x:v>Dubai</x:v>
      </x:c>
      <x:c r="F21" s="15" t="str">
        <x:v>AED</x:v>
      </x:c>
      <x:c r="G21" s="21" t="str">
        <x:v>세계 방문객 상위·고가 관광</x:v>
      </x:c>
      <x:c r="H21" s="21" t="str">
        <x:v>2차</x:v>
      </x:c>
      <x:c r="I21" s="21" t="str">
        <x:v>대기</x:v>
      </x:c>
      <x:c r="J21" s="30" t="str">
        <x:v>https://www.euromonitor.com/article/top-100-city-destinations-index-2025-driving-growth-and-innovation</x:v>
      </x:c>
    </x:row>
    <x:row r="22">
      <x:c r="A22" s="33" t="n">
        <x:v>18</x:v>
      </x:c>
      <x:c r="B22" s="16" t="str">
        <x:v>C</x:v>
      </x:c>
      <x:c r="C22" s="16" t="str">
        <x:v>미국</x:v>
      </x:c>
      <x:c r="D22" s="16" t="str">
        <x:v>뉴욕</x:v>
      </x:c>
      <x:c r="E22" s="16" t="str">
        <x:v>New York</x:v>
      </x:c>
      <x:c r="F22" s="16" t="str">
        <x:v>USD</x:v>
      </x:c>
      <x:c r="G22" s="22" t="str">
        <x:v>북미 기준점</x:v>
      </x:c>
      <x:c r="H22" s="22" t="str">
        <x:v>3차</x:v>
      </x:c>
      <x:c r="I22" s="22" t="str">
        <x:v>대기</x:v>
      </x:c>
      <x:c r="J22" s="31" t="str">
        <x:v>https://www.euromonitor.com/article/top-100-city-destinations-index-2025-driving-growth-and-innovation</x:v>
      </x:c>
    </x:row>
    <x:row r="23">
      <x:c r="A23" s="32" t="n">
        <x:v>19</x:v>
      </x:c>
      <x:c r="B23" s="15" t="str">
        <x:v>C</x:v>
      </x:c>
      <x:c r="C23" s="15" t="str">
        <x:v>이탈리아</x:v>
      </x:c>
      <x:c r="D23" s="15" t="str">
        <x:v>로마</x:v>
      </x:c>
      <x:c r="E23" s="15" t="str">
        <x:v>Rome</x:v>
      </x:c>
      <x:c r="F23" s="15" t="str">
        <x:v>EUR</x:v>
      </x:c>
      <x:c r="G23" s="21" t="str">
        <x:v>유럽 문화도시 비교</x:v>
      </x:c>
      <x:c r="H23" s="21" t="str">
        <x:v>3차</x:v>
      </x:c>
      <x:c r="I23" s="21" t="str">
        <x:v>대기</x:v>
      </x:c>
      <x:c r="J23" s="30" t="str">
        <x:v>https://www.euromonitor.com/article/top-100-city-destinations-index-2025-driving-growth-and-innovation</x:v>
      </x:c>
    </x:row>
    <x:row r="24">
      <x:c r="A24" s="33" t="n">
        <x:v>20</x:v>
      </x:c>
      <x:c r="B24" s="16" t="str">
        <x:v>C</x:v>
      </x:c>
      <x:c r="C24" s="16" t="str">
        <x:v>스페인</x:v>
      </x:c>
      <x:c r="D24" s="16" t="str">
        <x:v>바르셀로나</x:v>
      </x:c>
      <x:c r="E24" s="16" t="str">
        <x:v>Barcelona</x:v>
      </x:c>
      <x:c r="F24" s="16" t="str">
        <x:v>EUR</x:v>
      </x:c>
      <x:c r="G24" s="22" t="str">
        <x:v>유럽 도시 비교</x:v>
      </x:c>
      <x:c r="H24" s="22" t="str">
        <x:v>3차</x:v>
      </x:c>
      <x:c r="I24" s="22" t="str">
        <x:v>대기</x:v>
      </x:c>
      <x:c r="J24" s="31" t="str">
        <x:v>https://www.euromonitor.com/article/top-100-city-destinations-index-2025-driving-growth-and-innovation</x:v>
      </x:c>
    </x:row>
    <x:row r="25" ht="36" customHeight="1">
      <x:c r="A25" s="23" t="n">
        <x:v>21</x:v>
      </x:c>
      <x:c r="B25" s="23" t="str">
        <x:v>B</x:v>
      </x:c>
      <x:c r="C25" s="23" t="str">
        <x:v>중국</x:v>
      </x:c>
      <x:c r="D25" s="23" t="str">
        <x:v>상하이</x:v>
      </x:c>
      <x:c r="E25" s="23" t="str">
        <x:v>Shanghai</x:v>
      </x:c>
      <x:c r="F25" s="23" t="str">
        <x:v>CNY</x:v>
      </x:c>
      <x:c r="G25" s="23" t="str">
        <x:v>세계 도시관광 상위권·아시아 관광 거점</x:v>
      </x:c>
      <x:c r="H25" s="23" t="str">
        <x:v>2차</x:v>
      </x:c>
      <x:c r="I25" s="23" t="str">
        <x:v>완료</x:v>
      </x:c>
      <x:c r="J25" s="23" t="str">
        <x:v>https://www.euromonitor.com/article/top-100-city-destinations-index-2025-driving-growth-and-innovation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2f69405a1c246d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0" hidden="0" customWidth="1"/>
    <x:col min="5" max="5" width="15" hidden="0" customWidth="1"/>
    <x:col min="6" max="6" width="28" hidden="0" customWidth="1"/>
    <x:col min="7" max="7" width="30" hidden="0" customWidth="1"/>
    <x:col min="8" max="8" width="11" hidden="0" customWidth="1"/>
    <x:col min="9" max="9" width="11" hidden="0" customWidth="1"/>
    <x:col min="10" max="10" width="9" hidden="0" customWidth="1"/>
    <x:col min="11" max="11" width="16" hidden="0" customWidth="1"/>
    <x:col min="12" max="12" width="13" hidden="0" customWidth="1"/>
    <x:col min="13" max="13" width="13" hidden="0" customWidth="1"/>
    <x:col min="14" max="14" width="12" hidden="0" customWidth="1"/>
    <x:col min="15" max="15" width="11" hidden="0" customWidth="1"/>
    <x:col min="16" max="16" width="12" hidden="0" customWidth="1"/>
    <x:col min="17" max="17" width="12" hidden="0" customWidth="1"/>
    <x:col min="18" max="18" width="18" hidden="0" customWidth="1"/>
    <x:col min="19" max="19" width="26" hidden="0" customWidth="1"/>
    <x:col min="20" max="20" width="48" hidden="0" customWidth="1"/>
    <x:col min="21" max="21" width="40" hidden="0" customWidth="1"/>
  </x:cols>
  <x:sheetData>
    <x:row r="1" ht="34" customHeight="1">
      <x:c r="A1" s="3" t="str">
        <x:v>가격 표본 원장 — 8개 도시 파일럿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0" customHeight="1">
      <x:c r="A2" s="6" t="str">
        <x:v>한 행은 한 개의 검증 가능한 가격 관측치다. 현지 통화 원값만 저장하며, 최소/최대값과 고정·변동 여부를 분리한다.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  <x:c r="S3" s="50"/>
      <x:c r="T3" s="50"/>
      <x:c r="U3" s="50"/>
    </x:row>
    <x:row r="4" ht="34" customHeight="1">
      <x:c r="A4" s="12" t="str">
        <x:v>ID</x:v>
      </x:c>
      <x:c r="B4" s="12" t="str">
        <x:v>국가</x:v>
      </x:c>
      <x:c r="C4" s="12" t="str">
        <x:v>도시</x:v>
      </x:c>
      <x:c r="D4" s="12" t="str">
        <x:v>카테고리</x:v>
      </x:c>
      <x:c r="E4" s="12" t="str">
        <x:v>세부유형</x:v>
      </x:c>
      <x:c r="F4" s="12" t="str">
        <x:v>항목(한글)</x:v>
      </x:c>
      <x:c r="G4" s="12" t="str">
        <x:v>Item (English)</x:v>
      </x:c>
      <x:c r="H4" s="12" t="str">
        <x:v>최소</x:v>
      </x:c>
      <x:c r="I4" s="12" t="str">
        <x:v>최대</x:v>
      </x:c>
      <x:c r="J4" s="12" t="str">
        <x:v>통화</x:v>
      </x:c>
      <x:c r="K4" s="12" t="str">
        <x:v>단위</x:v>
      </x:c>
      <x:c r="L4" s="12" t="str">
        <x:v>가격형태</x:v>
      </x:c>
      <x:c r="M4" s="12" t="str">
        <x:v>대상</x:v>
      </x:c>
      <x:c r="N4" s="12" t="str">
        <x:v>출처등급</x:v>
      </x:c>
      <x:c r="O4" s="12" t="str">
        <x:v>모델사용</x:v>
      </x:c>
      <x:c r="P4" s="12" t="str">
        <x:v>상태</x:v>
      </x:c>
      <x:c r="Q4" s="12" t="str">
        <x:v>조회일</x:v>
      </x:c>
      <x:c r="R4" s="12" t="str">
        <x:v>적용/게시</x:v>
      </x:c>
      <x:c r="S4" s="12" t="str">
        <x:v>출처명</x:v>
      </x:c>
      <x:c r="T4" s="12" t="str">
        <x:v>출처 URL</x:v>
      </x:c>
      <x:c r="U4" s="12" t="str">
        <x:v>비고</x:v>
      </x:c>
    </x:row>
    <x:row r="5" ht="34" customHeight="1">
      <x:c r="A5" s="32" t="str">
        <x:v>TYO-TR-001</x:v>
      </x:c>
      <x:c r="B5" s="32" t="str">
        <x:v>일본</x:v>
      </x:c>
      <x:c r="C5" s="32" t="str">
        <x:v>도쿄</x:v>
      </x:c>
      <x:c r="D5" s="32" t="str">
        <x:v>교통</x:v>
      </x:c>
      <x:c r="E5" s="32" t="str">
        <x:v>무제한권</x:v>
      </x:c>
      <x:c r="F5" s="21" t="str">
        <x:v>도쿄 지하철 24시간권</x:v>
      </x:c>
      <x:c r="G5" s="21" t="str">
        <x:v>Tokyo Subway 24-hour Ticket</x:v>
      </x:c>
      <x:c r="H5" s="38" t="n">
        <x:v>1000</x:v>
      </x:c>
      <x:c r="I5" s="38" t="n">
        <x:v>1000</x:v>
      </x:c>
      <x:c r="J5" s="32" t="str">
        <x:v>JPY</x:v>
      </x:c>
      <x:c r="K5" s="32" t="str">
        <x:v>성인 1인</x:v>
      </x:c>
      <x:c r="L5" s="32" t="str">
        <x:v>고정형</x:v>
      </x:c>
      <x:c r="M5" s="32" t="str">
        <x:v>방문객</x:v>
      </x:c>
      <x:c r="N5" s="32" t="str">
        <x:v>A 공식</x:v>
      </x:c>
      <x:c r="O5" s="32" t="str">
        <x:v>예</x:v>
      </x:c>
      <x:c r="P5" s="32" t="str">
        <x:v>확정 1차</x:v>
      </x:c>
      <x:c r="Q5" s="40" t="n">
        <x:v>46298</x:v>
      </x:c>
      <x:c r="R5" s="32" t="str">
        <x:v>2026</x:v>
      </x:c>
      <x:c r="S5" s="21" t="str">
        <x:v>Tokyo Metro</x:v>
      </x:c>
      <x:c r="T5" s="42" t="str">
        <x:v>https://www.tokyometro.jp/en/ticket/travel/index.html</x:v>
      </x:c>
      <x:c r="U5" s="21" t="str">
        <x:v>Tokyo Metro+Toei, 사용 시작 후 24시간</x:v>
      </x:c>
    </x:row>
    <x:row r="6" ht="34" customHeight="1">
      <x:c r="A6" s="33" t="str">
        <x:v>TYO-TR-002</x:v>
      </x:c>
      <x:c r="B6" s="33" t="str">
        <x:v>일본</x:v>
      </x:c>
      <x:c r="C6" s="33" t="str">
        <x:v>도쿄</x:v>
      </x:c>
      <x:c r="D6" s="33" t="str">
        <x:v>교통</x:v>
      </x:c>
      <x:c r="E6" s="33" t="str">
        <x:v>무제한권</x:v>
      </x:c>
      <x:c r="F6" s="22" t="str">
        <x:v>도쿄 지하철 48시간권</x:v>
      </x:c>
      <x:c r="G6" s="22" t="str">
        <x:v>Tokyo Subway 48-hour Ticket</x:v>
      </x:c>
      <x:c r="H6" s="39" t="n">
        <x:v>1500</x:v>
      </x:c>
      <x:c r="I6" s="39" t="n">
        <x:v>1500</x:v>
      </x:c>
      <x:c r="J6" s="33" t="str">
        <x:v>JPY</x:v>
      </x:c>
      <x:c r="K6" s="33" t="str">
        <x:v>성인 1인</x:v>
      </x:c>
      <x:c r="L6" s="33" t="str">
        <x:v>고정형</x:v>
      </x:c>
      <x:c r="M6" s="33" t="str">
        <x:v>방문객</x:v>
      </x:c>
      <x:c r="N6" s="33" t="str">
        <x:v>A 공식</x:v>
      </x:c>
      <x:c r="O6" s="33" t="str">
        <x:v>예</x:v>
      </x:c>
      <x:c r="P6" s="33" t="str">
        <x:v>확정 1차</x:v>
      </x:c>
      <x:c r="Q6" s="41" t="n">
        <x:v>46298</x:v>
      </x:c>
      <x:c r="R6" s="33" t="str">
        <x:v>2026</x:v>
      </x:c>
      <x:c r="S6" s="22" t="str">
        <x:v>Tokyo Metro</x:v>
      </x:c>
      <x:c r="T6" s="43" t="str">
        <x:v>https://www.tokyometro.jp/en/ticket/travel/index.html</x:v>
      </x:c>
      <x:c r="U6" s="22" t="str">
        <x:v>Tokyo Metro+Toei</x:v>
      </x:c>
    </x:row>
    <x:row r="7" ht="34" customHeight="1">
      <x:c r="A7" s="32" t="str">
        <x:v>TYO-TR-003</x:v>
      </x:c>
      <x:c r="B7" s="32" t="str">
        <x:v>일본</x:v>
      </x:c>
      <x:c r="C7" s="32" t="str">
        <x:v>도쿄</x:v>
      </x:c>
      <x:c r="D7" s="32" t="str">
        <x:v>교통</x:v>
      </x:c>
      <x:c r="E7" s="32" t="str">
        <x:v>무제한권</x:v>
      </x:c>
      <x:c r="F7" s="21" t="str">
        <x:v>도쿄 지하철 72시간권</x:v>
      </x:c>
      <x:c r="G7" s="21" t="str">
        <x:v>Tokyo Subway 72-hour Ticket</x:v>
      </x:c>
      <x:c r="H7" s="38" t="n">
        <x:v>2000</x:v>
      </x:c>
      <x:c r="I7" s="38" t="n">
        <x:v>2000</x:v>
      </x:c>
      <x:c r="J7" s="32" t="str">
        <x:v>JPY</x:v>
      </x:c>
      <x:c r="K7" s="32" t="str">
        <x:v>성인 1인</x:v>
      </x:c>
      <x:c r="L7" s="32" t="str">
        <x:v>고정형</x:v>
      </x:c>
      <x:c r="M7" s="32" t="str">
        <x:v>방문객</x:v>
      </x:c>
      <x:c r="N7" s="32" t="str">
        <x:v>A 공식</x:v>
      </x:c>
      <x:c r="O7" s="32" t="str">
        <x:v>예</x:v>
      </x:c>
      <x:c r="P7" s="32" t="str">
        <x:v>확정 1차</x:v>
      </x:c>
      <x:c r="Q7" s="40" t="n">
        <x:v>46298</x:v>
      </x:c>
      <x:c r="R7" s="32" t="str">
        <x:v>2026</x:v>
      </x:c>
      <x:c r="S7" s="21" t="str">
        <x:v>Tokyo Metro</x:v>
      </x:c>
      <x:c r="T7" s="42" t="str">
        <x:v>https://www.tokyometro.jp/en/ticket/travel/index.html</x:v>
      </x:c>
      <x:c r="U7" s="21" t="str">
        <x:v>Tokyo Metro+Toei</x:v>
      </x:c>
    </x:row>
    <x:row r="8" ht="34" customHeight="1">
      <x:c r="A8" s="33" t="str">
        <x:v>TYO-TR-004</x:v>
      </x:c>
      <x:c r="B8" s="33" t="str">
        <x:v>일본</x:v>
      </x:c>
      <x:c r="C8" s="33" t="str">
        <x:v>도쿄</x:v>
      </x:c>
      <x:c r="D8" s="33" t="str">
        <x:v>교통</x:v>
      </x:c>
      <x:c r="E8" s="33" t="str">
        <x:v>아동권</x:v>
      </x:c>
      <x:c r="F8" s="22" t="str">
        <x:v>도쿄 지하철 24시간권</x:v>
      </x:c>
      <x:c r="G8" s="22" t="str">
        <x:v>Tokyo Subway 24-hour Ticket</x:v>
      </x:c>
      <x:c r="H8" s="39" t="n">
        <x:v>500</x:v>
      </x:c>
      <x:c r="I8" s="39" t="n">
        <x:v>500</x:v>
      </x:c>
      <x:c r="J8" s="33" t="str">
        <x:v>JPY</x:v>
      </x:c>
      <x:c r="K8" s="33" t="str">
        <x:v>아동 1인</x:v>
      </x:c>
      <x:c r="L8" s="33" t="str">
        <x:v>고정형</x:v>
      </x:c>
      <x:c r="M8" s="33" t="str">
        <x:v>아동</x:v>
      </x:c>
      <x:c r="N8" s="33" t="str">
        <x:v>A 공식</x:v>
      </x:c>
      <x:c r="O8" s="33" t="str">
        <x:v>예</x:v>
      </x:c>
      <x:c r="P8" s="33" t="str">
        <x:v>확정 1차</x:v>
      </x:c>
      <x:c r="Q8" s="41" t="n">
        <x:v>46298</x:v>
      </x:c>
      <x:c r="R8" s="33" t="str">
        <x:v>2026</x:v>
      </x:c>
      <x:c r="S8" s="22" t="str">
        <x:v>Tokyo Metro</x:v>
      </x:c>
      <x:c r="T8" s="43" t="str">
        <x:v>https://www.tokyometro.jp/en/ticket/travel/index.html</x:v>
      </x:c>
      <x:c r="U8" s="22" t="str">
        <x:v>성인/아동 구분 저장 예시</x:v>
      </x:c>
    </x:row>
    <x:row r="9" ht="34" customHeight="1">
      <x:c r="A9" s="32" t="str">
        <x:v>TYO-AT-001</x:v>
      </x:c>
      <x:c r="B9" s="32" t="str">
        <x:v>일본</x:v>
      </x:c>
      <x:c r="C9" s="32" t="str">
        <x:v>도쿄</x:v>
      </x:c>
      <x:c r="D9" s="32" t="str">
        <x:v>관광</x:v>
      </x:c>
      <x:c r="E9" s="32" t="str">
        <x:v>전망대</x:v>
      </x:c>
      <x:c r="F9" s="21" t="str">
        <x:v>도쿄 스카이트리 콤보권</x:v>
      </x:c>
      <x:c r="G9" s="21" t="str">
        <x:v>Tokyo Skytree Tembo Deck + Galleria</x:v>
      </x:c>
      <x:c r="H9" s="38" t="n">
        <x:v>3000</x:v>
      </x:c>
      <x:c r="I9" s="38" t="n">
        <x:v>4800</x:v>
      </x:c>
      <x:c r="J9" s="32" t="str">
        <x:v>JPY</x:v>
      </x:c>
      <x:c r="K9" s="32" t="str">
        <x:v>성인 1인</x:v>
      </x:c>
      <x:c r="L9" s="32" t="str">
        <x:v>수요형</x:v>
      </x:c>
      <x:c r="M9" s="32" t="str">
        <x:v>방문객</x:v>
      </x:c>
      <x:c r="N9" s="32" t="str">
        <x:v>A 공식</x:v>
      </x:c>
      <x:c r="O9" s="32" t="str">
        <x:v>조건부</x:v>
      </x:c>
      <x:c r="P9" s="32" t="str">
        <x:v>확정 4차</x:v>
      </x:c>
      <x:c r="Q9" s="40" t="n">
        <x:v>46298</x:v>
      </x:c>
      <x:c r="R9" s="32" t="str">
        <x:v>2026-04-01 이후</x:v>
      </x:c>
      <x:c r="S9" s="21" t="str">
        <x:v>Tokyo Skytree</x:v>
      </x:c>
      <x:c r="T9" s="42" t="str">
        <x:v>https://www.tokyo-skytree.jp/datas/files/2026/03/19/da1ebeff3b1d6bbfa26f052f2d6a99c9a33b8143.pdf</x:v>
      </x:c>
      <x:c r="U9" s="21" t="str">
        <x:v>v0.4 재확인: 성인 덱+갤러리아 콤보는 날짜별 수요요금 ¥3,000–¥4,800. 방문일에 실제 구매가를 확인하며 현장 구매 보충액 ¥500 별도.</x:v>
      </x:c>
    </x:row>
    <x:row r="10" ht="34" customHeight="1">
      <x:c r="A10" s="33" t="str">
        <x:v>TYO-FD-001</x:v>
      </x:c>
      <x:c r="B10" s="33" t="str">
        <x:v>일본</x:v>
      </x:c>
      <x:c r="C10" s="33" t="str">
        <x:v>도쿄</x:v>
      </x:c>
      <x:c r="D10" s="33" t="str">
        <x:v>외식</x:v>
      </x:c>
      <x:c r="E10" s="33" t="str">
        <x:v>저가 한끼</x:v>
      </x:c>
      <x:c r="F10" s="22" t="str">
        <x:v>스키야 규동 M</x:v>
      </x:c>
      <x:c r="G10" s="22" t="str">
        <x:v>Sukiya Gyudon M</x:v>
      </x:c>
      <x:c r="H10" s="39" t="n">
        <x:v>480</x:v>
      </x:c>
      <x:c r="I10" s="39" t="n">
        <x:v>480</x:v>
      </x:c>
      <x:c r="J10" s="33" t="str">
        <x:v>JPY</x:v>
      </x:c>
      <x:c r="K10" s="33" t="str">
        <x:v>1그릇</x:v>
      </x:c>
      <x:c r="L10" s="33" t="str">
        <x:v>고정형</x:v>
      </x:c>
      <x:c r="M10" s="33" t="str">
        <x:v>일반</x:v>
      </x:c>
      <x:c r="N10" s="33" t="str">
        <x:v>A 공식</x:v>
      </x:c>
      <x:c r="O10" s="33" t="str">
        <x:v>예</x:v>
      </x:c>
      <x:c r="P10" s="33" t="str">
        <x:v>확정 1차</x:v>
      </x:c>
      <x:c r="Q10" s="41" t="n">
        <x:v>46298</x:v>
      </x:c>
      <x:c r="R10" s="33" t="str">
        <x:v>2026</x:v>
      </x:c>
      <x:c r="S10" s="22" t="str">
        <x:v>Sukiya</x:v>
      </x:c>
      <x:c r="T10" s="43" t="str">
        <x:v>https://www.sukiya.jp/en/</x:v>
      </x:c>
      <x:c r="U10" s="22" t="str">
        <x:v>전국 체인 기준 저가 식사 표본</x:v>
      </x:c>
    </x:row>
    <x:row r="11" ht="34" customHeight="1">
      <x:c r="A11" s="32" t="str">
        <x:v>TYO-FD-002</x:v>
      </x:c>
      <x:c r="B11" s="32" t="str">
        <x:v>일본</x:v>
      </x:c>
      <x:c r="C11" s="32" t="str">
        <x:v>도쿄</x:v>
      </x:c>
      <x:c r="D11" s="32" t="str">
        <x:v>외식</x:v>
      </x:c>
      <x:c r="E11" s="32" t="str">
        <x:v>관광지 식당</x:v>
      </x:c>
      <x:c r="F11" s="21" t="str">
        <x:v>모둠 튀김과 밥</x:v>
      </x:c>
      <x:c r="G11" s="21" t="str">
        <x:v>Assorted Tempura and Rice</x:v>
      </x:c>
      <x:c r="H11" s="38" t="n">
        <x:v>2800</x:v>
      </x:c>
      <x:c r="I11" s="38" t="n">
        <x:v>2800</x:v>
      </x:c>
      <x:c r="J11" s="32" t="str">
        <x:v>JPY</x:v>
      </x:c>
      <x:c r="K11" s="32" t="str">
        <x:v>1세트</x:v>
      </x:c>
      <x:c r="L11" s="32" t="str">
        <x:v>고정형</x:v>
      </x:c>
      <x:c r="M11" s="32" t="str">
        <x:v>일반</x:v>
      </x:c>
      <x:c r="N11" s="32" t="str">
        <x:v>A 공식</x:v>
      </x:c>
      <x:c r="O11" s="32" t="str">
        <x:v>예</x:v>
      </x:c>
      <x:c r="P11" s="32" t="str">
        <x:v>확정 1차</x:v>
      </x:c>
      <x:c r="Q11" s="40" t="n">
        <x:v>46298</x:v>
      </x:c>
      <x:c r="R11" s="32" t="str">
        <x:v>2026</x:v>
      </x:c>
      <x:c r="S11" s="21" t="str">
        <x:v>Tokyo Disney Resort Restaurant Hokusai</x:v>
      </x:c>
      <x:c r="T11" s="42" t="str">
        <x:v>https://www.tokyodisneyresort.jp/en/tdl/restaurant/food/313/</x:v>
      </x:c>
      <x:c r="U11" s="21" t="str">
        <x:v>관광지 내부 중가 식사 표본</x:v>
      </x:c>
    </x:row>
    <x:row r="12" ht="34" customHeight="1">
      <x:c r="A12" s="33" t="str">
        <x:v>TYO-FD-003</x:v>
      </x:c>
      <x:c r="B12" s="33" t="str">
        <x:v>일본</x:v>
      </x:c>
      <x:c r="C12" s="33" t="str">
        <x:v>도쿄</x:v>
      </x:c>
      <x:c r="D12" s="33" t="str">
        <x:v>외식</x:v>
      </x:c>
      <x:c r="E12" s="33" t="str">
        <x:v>관광지 식당</x:v>
      </x:c>
      <x:c r="F12" s="22" t="str">
        <x:v>레스토랑 호쿠사이 스페셜 세트</x:v>
      </x:c>
      <x:c r="G12" s="22" t="str">
        <x:v>Restaurant Hokusai Special Set</x:v>
      </x:c>
      <x:c r="H12" s="39" t="n">
        <x:v>4200</x:v>
      </x:c>
      <x:c r="I12" s="39" t="n">
        <x:v>4200</x:v>
      </x:c>
      <x:c r="J12" s="33" t="str">
        <x:v>JPY</x:v>
      </x:c>
      <x:c r="K12" s="33" t="str">
        <x:v>1세트</x:v>
      </x:c>
      <x:c r="L12" s="33" t="str">
        <x:v>기간형</x:v>
      </x:c>
      <x:c r="M12" s="33" t="str">
        <x:v>일반</x:v>
      </x:c>
      <x:c r="N12" s="33" t="str">
        <x:v>A 공식</x:v>
      </x:c>
      <x:c r="O12" s="33" t="str">
        <x:v>예</x:v>
      </x:c>
      <x:c r="P12" s="33" t="str">
        <x:v>확정 1차</x:v>
      </x:c>
      <x:c r="Q12" s="41" t="n">
        <x:v>46298</x:v>
      </x:c>
      <x:c r="R12" s="33" t="str">
        <x:v>2026-10-01~2027-06-30</x:v>
      </x:c>
      <x:c r="S12" s="22" t="str">
        <x:v>Tokyo Disney Resort Restaurant Hokusai</x:v>
      </x:c>
      <x:c r="T12" s="43" t="str">
        <x:v>https://www.tokyodisneyresort.jp/en/tdl/restaurant/food/313/</x:v>
      </x:c>
      <x:c r="U12" s="22" t="str">
        <x:v>판매기간을 별도 저장</x:v>
      </x:c>
    </x:row>
    <x:row r="13" ht="34" customHeight="1">
      <x:c r="A13" s="32" t="str">
        <x:v>TYO-SV-001</x:v>
      </x:c>
      <x:c r="B13" s="32" t="str">
        <x:v>일본</x:v>
      </x:c>
      <x:c r="C13" s="32" t="str">
        <x:v>도쿄</x:v>
      </x:c>
      <x:c r="D13" s="32" t="str">
        <x:v>기념품</x:v>
      </x:c>
      <x:c r="E13" s="32" t="str">
        <x:v>식품</x:v>
      </x:c>
      <x:c r="F13" s="21" t="str">
        <x:v>도쿄바나나 오리지널 4개</x:v>
      </x:c>
      <x:c r="G13" s="21" t="str">
        <x:v>Tokyo Banana Original 4 pcs</x:v>
      </x:c>
      <x:c r="H13" s="38" t="n">
        <x:v>691</x:v>
      </x:c>
      <x:c r="I13" s="38" t="n">
        <x:v>691</x:v>
      </x:c>
      <x:c r="J13" s="32" t="str">
        <x:v>JPY</x:v>
      </x:c>
      <x:c r="K13" s="32" t="str">
        <x:v>1상자</x:v>
      </x:c>
      <x:c r="L13" s="32" t="str">
        <x:v>고정형</x:v>
      </x:c>
      <x:c r="M13" s="32" t="str">
        <x:v>일반</x:v>
      </x:c>
      <x:c r="N13" s="32" t="str">
        <x:v>A 공식</x:v>
      </x:c>
      <x:c r="O13" s="32" t="str">
        <x:v>예</x:v>
      </x:c>
      <x:c r="P13" s="32" t="str">
        <x:v>확정 1차</x:v>
      </x:c>
      <x:c r="Q13" s="40" t="n">
        <x:v>46298</x:v>
      </x:c>
      <x:c r="R13" s="32" t="str">
        <x:v>2026</x:v>
      </x:c>
      <x:c r="S13" s="21" t="str">
        <x:v>Tokyo Banana</x:v>
      </x:c>
      <x:c r="T13" s="42" t="str">
        <x:v>https://www.tokyobanana.jp/language/en/products/28.html</x:v>
      </x:c>
      <x:c r="U13" s="21" t="str">
        <x:v>세금 포함</x:v>
      </x:c>
    </x:row>
    <x:row r="14" ht="34" customHeight="1">
      <x:c r="A14" s="33" t="str">
        <x:v>TYO-SV-002</x:v>
      </x:c>
      <x:c r="B14" s="33" t="str">
        <x:v>일본</x:v>
      </x:c>
      <x:c r="C14" s="33" t="str">
        <x:v>도쿄</x:v>
      </x:c>
      <x:c r="D14" s="33" t="str">
        <x:v>기념품</x:v>
      </x:c>
      <x:c r="E14" s="33" t="str">
        <x:v>식품</x:v>
      </x:c>
      <x:c r="F14" s="22" t="str">
        <x:v>도쿄바나나 오리지널 8개</x:v>
      </x:c>
      <x:c r="G14" s="22" t="str">
        <x:v>Tokyo Banana Original 8 pcs</x:v>
      </x:c>
      <x:c r="H14" s="39" t="n">
        <x:v>1296</x:v>
      </x:c>
      <x:c r="I14" s="39" t="n">
        <x:v>1296</x:v>
      </x:c>
      <x:c r="J14" s="33" t="str">
        <x:v>JPY</x:v>
      </x:c>
      <x:c r="K14" s="33" t="str">
        <x:v>1상자</x:v>
      </x:c>
      <x:c r="L14" s="33" t="str">
        <x:v>고정형</x:v>
      </x:c>
      <x:c r="M14" s="33" t="str">
        <x:v>일반</x:v>
      </x:c>
      <x:c r="N14" s="33" t="str">
        <x:v>A 공식</x:v>
      </x:c>
      <x:c r="O14" s="33" t="str">
        <x:v>예</x:v>
      </x:c>
      <x:c r="P14" s="33" t="str">
        <x:v>확정 1차</x:v>
      </x:c>
      <x:c r="Q14" s="41" t="n">
        <x:v>46298</x:v>
      </x:c>
      <x:c r="R14" s="33" t="str">
        <x:v>2026</x:v>
      </x:c>
      <x:c r="S14" s="22" t="str">
        <x:v>Tokyo Banana</x:v>
      </x:c>
      <x:c r="T14" s="43" t="str">
        <x:v>https://www.tokyobanana.jp/language/en/products/28.html</x:v>
      </x:c>
      <x:c r="U14" s="22" t="str">
        <x:v>세금 포함</x:v>
      </x:c>
    </x:row>
    <x:row r="15" ht="34" customHeight="1">
      <x:c r="A15" s="32" t="str">
        <x:v>OSA-TR-001</x:v>
      </x:c>
      <x:c r="B15" s="32" t="str">
        <x:v>일본</x:v>
      </x:c>
      <x:c r="C15" s="32" t="str">
        <x:v>오사카</x:v>
      </x:c>
      <x:c r="D15" s="32" t="str">
        <x:v>교통</x:v>
      </x:c>
      <x:c r="E15" s="32" t="str">
        <x:v>무제한권</x:v>
      </x:c>
      <x:c r="F15" s="21" t="str">
        <x:v>오사카 메트로 1일권 평일</x:v>
      </x:c>
      <x:c r="G15" s="21" t="str">
        <x:v>Osaka Metro 1-day Pass Weekday</x:v>
      </x:c>
      <x:c r="H15" s="38" t="n">
        <x:v>820</x:v>
      </x:c>
      <x:c r="I15" s="38" t="n">
        <x:v>820</x:v>
      </x:c>
      <x:c r="J15" s="32" t="str">
        <x:v>JPY</x:v>
      </x:c>
      <x:c r="K15" s="32" t="str">
        <x:v>성인 1인</x:v>
      </x:c>
      <x:c r="L15" s="32" t="str">
        <x:v>요일형</x:v>
      </x:c>
      <x:c r="M15" s="32" t="str">
        <x:v>일반</x:v>
      </x:c>
      <x:c r="N15" s="32" t="str">
        <x:v>A 공식</x:v>
      </x:c>
      <x:c r="O15" s="32" t="str">
        <x:v>예</x:v>
      </x:c>
      <x:c r="P15" s="32" t="str">
        <x:v>확정 1차</x:v>
      </x:c>
      <x:c r="Q15" s="40" t="d">
        <x:v>2026-10-02T00:00:00.000Z</x:v>
      </x:c>
      <x:c r="R15" s="32" t="str">
        <x:v>2026</x:v>
      </x:c>
      <x:c r="S15" s="21" t="str">
        <x:v>Osaka Metro</x:v>
      </x:c>
      <x:c r="T15" s="42" t="str">
        <x:v>https://subway.osakametro.co.jp/en/guide/fare/category_digital_tickets/digital_tickets/digital_joshaken.php</x:v>
      </x:c>
      <x:c r="U15" s="21" t="str">
        <x:v>일부 구간 제외</x:v>
      </x:c>
    </x:row>
    <x:row r="16" ht="34" customHeight="1">
      <x:c r="A16" s="33" t="str">
        <x:v>OSA-TR-002</x:v>
      </x:c>
      <x:c r="B16" s="33" t="str">
        <x:v>일본</x:v>
      </x:c>
      <x:c r="C16" s="33" t="str">
        <x:v>오사카</x:v>
      </x:c>
      <x:c r="D16" s="33" t="str">
        <x:v>교통</x:v>
      </x:c>
      <x:c r="E16" s="33" t="str">
        <x:v>무제한권</x:v>
      </x:c>
      <x:c r="F16" s="22" t="str">
        <x:v>오사카 메트로 1일권 주말·공휴일</x:v>
      </x:c>
      <x:c r="G16" s="22" t="str">
        <x:v>Osaka Metro 1-day Pass Weekend/Holiday</x:v>
      </x:c>
      <x:c r="H16" s="39" t="n">
        <x:v>620</x:v>
      </x:c>
      <x:c r="I16" s="39" t="n">
        <x:v>620</x:v>
      </x:c>
      <x:c r="J16" s="33" t="str">
        <x:v>JPY</x:v>
      </x:c>
      <x:c r="K16" s="33" t="str">
        <x:v>성인 1인</x:v>
      </x:c>
      <x:c r="L16" s="33" t="str">
        <x:v>요일형</x:v>
      </x:c>
      <x:c r="M16" s="33" t="str">
        <x:v>일반</x:v>
      </x:c>
      <x:c r="N16" s="33" t="str">
        <x:v>A 공식</x:v>
      </x:c>
      <x:c r="O16" s="33" t="str">
        <x:v>예</x:v>
      </x:c>
      <x:c r="P16" s="33" t="str">
        <x:v>확정 1차</x:v>
      </x:c>
      <x:c r="Q16" s="41" t="d">
        <x:v>2026-10-02T00:00:00.000Z</x:v>
      </x:c>
      <x:c r="R16" s="33" t="str">
        <x:v>2026</x:v>
      </x:c>
      <x:c r="S16" s="22" t="str">
        <x:v>Osaka Metro</x:v>
      </x:c>
      <x:c r="T16" s="43" t="str">
        <x:v>https://subway.osakametro.co.jp/en/guide/fare/category_digital_tickets/digital_tickets/digital_joshaken.php</x:v>
      </x:c>
      <x:c r="U16" s="22" t="str">
        <x:v>방문일 요일 반영 필요</x:v>
      </x:c>
    </x:row>
    <x:row r="17" ht="34" customHeight="1">
      <x:c r="A17" s="32" t="str">
        <x:v>OSA-AT-001</x:v>
      </x:c>
      <x:c r="B17" s="32" t="str">
        <x:v>일본</x:v>
      </x:c>
      <x:c r="C17" s="32" t="str">
        <x:v>오사카</x:v>
      </x:c>
      <x:c r="D17" s="32" t="str">
        <x:v>관광</x:v>
      </x:c>
      <x:c r="E17" s="32" t="str">
        <x:v>전망대</x:v>
      </x:c>
      <x:c r="F17" s="21" t="str">
        <x:v>우메다 스카이빌딩 전망대</x:v>
      </x:c>
      <x:c r="G17" s="21" t="str">
        <x:v>Umeda Sky Building Observatory</x:v>
      </x:c>
      <x:c r="H17" s="38" t="n">
        <x:v>2000</x:v>
      </x:c>
      <x:c r="I17" s="38" t="n">
        <x:v>2000</x:v>
      </x:c>
      <x:c r="J17" s="32" t="str">
        <x:v>JPY</x:v>
      </x:c>
      <x:c r="K17" s="32" t="str">
        <x:v>성인 1인</x:v>
      </x:c>
      <x:c r="L17" s="32" t="str">
        <x:v>고정형</x:v>
      </x:c>
      <x:c r="M17" s="32" t="str">
        <x:v>일반</x:v>
      </x:c>
      <x:c r="N17" s="32" t="str">
        <x:v>B 공공</x:v>
      </x:c>
      <x:c r="O17" s="32" t="str">
        <x:v>조건부</x:v>
      </x:c>
      <x:c r="P17" s="32" t="str">
        <x:v>확정 1차</x:v>
      </x:c>
      <x:c r="Q17" s="40" t="d">
        <x:v>2026-10-02T00:00:00.000Z</x:v>
      </x:c>
      <x:c r="R17" s="32" t="str">
        <x:v>2026</x:v>
      </x:c>
      <x:c r="S17" s="21" t="str">
        <x:v>Osaka Amazing Pass</x:v>
      </x:c>
      <x:c r="T17" s="42" t="str">
        <x:v>https://osaka-amazing-pass.com/en/service_free.html</x:v>
      </x:c>
      <x:c r="U17" s="21" t="str">
        <x:v>공식 패스 페이지의 일반요금</x:v>
      </x:c>
    </x:row>
    <x:row r="18" ht="34" customHeight="1">
      <x:c r="A18" s="33" t="str">
        <x:v>OSA-AT-002</x:v>
      </x:c>
      <x:c r="B18" s="33" t="str">
        <x:v>일본</x:v>
      </x:c>
      <x:c r="C18" s="33" t="str">
        <x:v>오사카</x:v>
      </x:c>
      <x:c r="D18" s="33" t="str">
        <x:v>관광</x:v>
      </x:c>
      <x:c r="E18" s="33" t="str">
        <x:v>관람차</x:v>
      </x:c>
      <x:c r="F18" s="22" t="str">
        <x:v>HEP FIVE 관람차</x:v>
      </x:c>
      <x:c r="G18" s="22" t="str">
        <x:v>HEP FIVE Ferris Wheel</x:v>
      </x:c>
      <x:c r="H18" s="39" t="n">
        <x:v>1000</x:v>
      </x:c>
      <x:c r="I18" s="39" t="n">
        <x:v>1000</x:v>
      </x:c>
      <x:c r="J18" s="33" t="str">
        <x:v>JPY</x:v>
      </x:c>
      <x:c r="K18" s="33" t="str">
        <x:v>1인</x:v>
      </x:c>
      <x:c r="L18" s="33" t="str">
        <x:v>고정형</x:v>
      </x:c>
      <x:c r="M18" s="33" t="str">
        <x:v>일반</x:v>
      </x:c>
      <x:c r="N18" s="33" t="str">
        <x:v>B 공공</x:v>
      </x:c>
      <x:c r="O18" s="33" t="str">
        <x:v>조건부</x:v>
      </x:c>
      <x:c r="P18" s="33" t="str">
        <x:v>확정 1차</x:v>
      </x:c>
      <x:c r="Q18" s="41" t="n">
        <x:v>46298</x:v>
      </x:c>
      <x:c r="R18" s="33" t="str">
        <x:v>2026</x:v>
      </x:c>
      <x:c r="S18" s="22" t="str">
        <x:v>Osaka Amazing Pass</x:v>
      </x:c>
      <x:c r="T18" s="43" t="str">
        <x:v>https://osaka-amazing-pass.com/en/service_free.html</x:v>
      </x:c>
      <x:c r="U18" s="22" t="str">
        <x:v>공식 패스 페이지의 일반요금</x:v>
      </x:c>
    </x:row>
    <x:row r="19" ht="34" customHeight="1">
      <x:c r="A19" s="32" t="str">
        <x:v>OSA-AT-003</x:v>
      </x:c>
      <x:c r="B19" s="32" t="str">
        <x:v>일본</x:v>
      </x:c>
      <x:c r="C19" s="32" t="str">
        <x:v>오사카</x:v>
      </x:c>
      <x:c r="D19" s="32" t="str">
        <x:v>관광</x:v>
      </x:c>
      <x:c r="E19" s="32" t="str">
        <x:v>크루즈</x:v>
      </x:c>
      <x:c r="F19" s="21" t="str">
        <x:v>산타마리아 데이크루즈</x:v>
      </x:c>
      <x:c r="G19" s="21" t="str">
        <x:v>Santa Maria Day Cruise</x:v>
      </x:c>
      <x:c r="H19" s="38" t="n">
        <x:v>2000</x:v>
      </x:c>
      <x:c r="I19" s="38" t="n">
        <x:v>2000</x:v>
      </x:c>
      <x:c r="J19" s="32" t="str">
        <x:v>JPY</x:v>
      </x:c>
      <x:c r="K19" s="32" t="str">
        <x:v>성인 1인</x:v>
      </x:c>
      <x:c r="L19" s="32" t="str">
        <x:v>기간형</x:v>
      </x:c>
      <x:c r="M19" s="32" t="str">
        <x:v>일반</x:v>
      </x:c>
      <x:c r="N19" s="32" t="str">
        <x:v>A 공식</x:v>
      </x:c>
      <x:c r="O19" s="32" t="str">
        <x:v>조건부</x:v>
      </x:c>
      <x:c r="P19" s="32" t="str">
        <x:v>확정 4차</x:v>
      </x:c>
      <x:c r="Q19" s="40" t="n">
        <x:v>46298</x:v>
      </x:c>
      <x:c r="R19" s="32" t="str">
        <x:v>2026-10-01 이후</x:v>
      </x:c>
      <x:c r="S19" s="21" t="str">
        <x:v>Osaka Suijyo Bus</x:v>
      </x:c>
      <x:c r="T19" s="42" t="str">
        <x:v>https://suijo-bus.osaka/cruiselist/santamaria/</x:v>
      </x:c>
      <x:c r="U19" s="21" t="str">
        <x:v>v0.4 재확인: 운영사 기준 성인 ¥2,000, 아동 ¥1,000. 성인 가격은 2026-10-01 적용.</x:v>
      </x:c>
    </x:row>
    <x:row r="20" ht="34" customHeight="1">
      <x:c r="A20" s="33" t="str">
        <x:v>OSA-FD-001</x:v>
      </x:c>
      <x:c r="B20" s="33" t="str">
        <x:v>일본</x:v>
      </x:c>
      <x:c r="C20" s="33" t="str">
        <x:v>오사카</x:v>
      </x:c>
      <x:c r="D20" s="33" t="str">
        <x:v>외식</x:v>
      </x:c>
      <x:c r="E20" s="33" t="str">
        <x:v>간식</x:v>
      </x:c>
      <x:c r="F20" s="22" t="str">
        <x:v>타코야키 6개</x:v>
      </x:c>
      <x:c r="G20" s="22" t="str">
        <x:v>Takoyaki 6 pcs</x:v>
      </x:c>
      <x:c r="H20" s="39" t="n">
        <x:v>630</x:v>
      </x:c>
      <x:c r="I20" s="39" t="n">
        <x:v>630</x:v>
      </x:c>
      <x:c r="J20" s="33" t="str">
        <x:v>JPY</x:v>
      </x:c>
      <x:c r="K20" s="33" t="str">
        <x:v>1접시</x:v>
      </x:c>
      <x:c r="L20" s="33" t="str">
        <x:v>고정형</x:v>
      </x:c>
      <x:c r="M20" s="33" t="str">
        <x:v>일반</x:v>
      </x:c>
      <x:c r="N20" s="33" t="str">
        <x:v>A 공식</x:v>
      </x:c>
      <x:c r="O20" s="33" t="str">
        <x:v>예</x:v>
      </x:c>
      <x:c r="P20" s="33" t="str">
        <x:v>확정 4차</x:v>
      </x:c>
      <x:c r="Q20" s="41" t="n">
        <x:v>46298</x:v>
      </x:c>
      <x:c r="R20" s="33" t="str">
        <x:v>2025 공식 메뉴</x:v>
      </x:c>
      <x:c r="S20" s="22" t="str">
        <x:v>Takohachi</x:v>
      </x:c>
      <x:c r="T20" s="43" t="str">
        <x:v>https://www.takohachi.jp/wp-content/uploads/2025/03/f9d7c787c113f386cc64c16c2608abb4.pdf</x:v>
      </x:c>
      <x:c r="U20" s="22" t="str">
        <x:v>v0.4 재확인: 공식 다국어 메뉴의 타코야키 6개 ¥630, 세금 포함. 기존 6개 가격 유지.</x:v>
      </x:c>
    </x:row>
    <x:row r="21" ht="34" customHeight="1">
      <x:c r="A21" s="32" t="str">
        <x:v>OSA-FD-002</x:v>
      </x:c>
      <x:c r="B21" s="32" t="str">
        <x:v>일본</x:v>
      </x:c>
      <x:c r="C21" s="32" t="str">
        <x:v>오사카</x:v>
      </x:c>
      <x:c r="D21" s="32" t="str">
        <x:v>외식</x:v>
      </x:c>
      <x:c r="E21" s="32" t="str">
        <x:v>중가 한끼</x:v>
      </x:c>
      <x:c r="F21" s="21" t="str">
        <x:v>오사카 텐푸라 정식</x:v>
      </x:c>
      <x:c r="G21" s="21" t="str">
        <x:v>Osaka Tempura Set</x:v>
      </x:c>
      <x:c r="H21" s="38" t="n">
        <x:v>1980</x:v>
      </x:c>
      <x:c r="I21" s="38" t="n">
        <x:v>1980</x:v>
      </x:c>
      <x:c r="J21" s="32" t="str">
        <x:v>JPY</x:v>
      </x:c>
      <x:c r="K21" s="32" t="str">
        <x:v>1세트</x:v>
      </x:c>
      <x:c r="L21" s="32" t="str">
        <x:v>고정형</x:v>
      </x:c>
      <x:c r="M21" s="32" t="str">
        <x:v>일반</x:v>
      </x:c>
      <x:c r="N21" s="32" t="str">
        <x:v>A 공식</x:v>
      </x:c>
      <x:c r="O21" s="32" t="str">
        <x:v>예</x:v>
      </x:c>
      <x:c r="P21" s="32" t="str">
        <x:v>확정 1차</x:v>
      </x:c>
      <x:c r="Q21" s="40" t="n">
        <x:v>46298</x:v>
      </x:c>
      <x:c r="R21" s="32" t="str">
        <x:v>2026-03 메뉴</x:v>
      </x:c>
      <x:c r="S21" s="21" t="str">
        <x:v>Tempura Takao</x:v>
      </x:c>
      <x:c r="T21" s="42" t="str">
        <x:v>https://tempura-takao.jp/aawtMRT/wp-content/uploads/2023/07/33osaka_2026.3menu.pdf</x:v>
      </x:c>
      <x:c r="U21" s="21" t="str">
        <x:v>판매자 공식 메뉴의 Osaka Tempura Teishoku ¥1,980</x:v>
      </x:c>
    </x:row>
    <x:row r="22" ht="34" customHeight="1">
      <x:c r="A22" s="33" t="str">
        <x:v>OSA-SV-001</x:v>
      </x:c>
      <x:c r="B22" s="33" t="str">
        <x:v>일본</x:v>
      </x:c>
      <x:c r="C22" s="33" t="str">
        <x:v>오사카</x:v>
      </x:c>
      <x:c r="D22" s="33" t="str">
        <x:v>기념품</x:v>
      </x:c>
      <x:c r="E22" s="33" t="str">
        <x:v>식품</x:v>
      </x:c>
      <x:c r="F22" s="22" t="str">
        <x:v>551 HORAI 돼지고기만두 2개</x:v>
      </x:c>
      <x:c r="G22" s="22" t="str">
        <x:v>551 HORAI Pork Buns 2 pcs</x:v>
      </x:c>
      <x:c r="H22" s="39" t="n">
        <x:v>500</x:v>
      </x:c>
      <x:c r="I22" s="39" t="n">
        <x:v>500</x:v>
      </x:c>
      <x:c r="J22" s="33" t="str">
        <x:v>JPY</x:v>
      </x:c>
      <x:c r="K22" s="33" t="str">
        <x:v>1상자</x:v>
      </x:c>
      <x:c r="L22" s="33" t="str">
        <x:v>고정형</x:v>
      </x:c>
      <x:c r="M22" s="33" t="str">
        <x:v>일반</x:v>
      </x:c>
      <x:c r="N22" s="33" t="str">
        <x:v>A 공식</x:v>
      </x:c>
      <x:c r="O22" s="33" t="str">
        <x:v>예</x:v>
      </x:c>
      <x:c r="P22" s="33" t="str">
        <x:v>확정 1차</x:v>
      </x:c>
      <x:c r="Q22" s="41" t="n">
        <x:v>46298</x:v>
      </x:c>
      <x:c r="R22" s="33" t="str">
        <x:v>2026</x:v>
      </x:c>
      <x:c r="S22" s="22" t="str">
        <x:v>551 HORAI</x:v>
      </x:c>
      <x:c r="T22" s="43" t="str">
        <x:v>https://www.551horai.co.jp/menu/butaman/</x:v>
      </x:c>
      <x:c r="U22" s="22" t="str">
        <x:v>매장·통신판매 가격 차이 가능</x:v>
      </x:c>
    </x:row>
    <x:row r="23" ht="34" customHeight="1">
      <x:c r="A23" s="32" t="str">
        <x:v>OSA-SV-002</x:v>
      </x:c>
      <x:c r="B23" s="32" t="str">
        <x:v>일본</x:v>
      </x:c>
      <x:c r="C23" s="32" t="str">
        <x:v>오사카</x:v>
      </x:c>
      <x:c r="D23" s="32" t="str">
        <x:v>기념품</x:v>
      </x:c>
      <x:c r="E23" s="32" t="str">
        <x:v>식품</x:v>
      </x:c>
      <x:c r="F23" s="21" t="str">
        <x:v>551 HORAI 돼지고기만두 4개</x:v>
      </x:c>
      <x:c r="G23" s="21" t="str">
        <x:v>551 HORAI Pork Buns 4 pcs</x:v>
      </x:c>
      <x:c r="H23" s="38" t="n">
        <x:v>1000</x:v>
      </x:c>
      <x:c r="I23" s="38" t="n">
        <x:v>1000</x:v>
      </x:c>
      <x:c r="J23" s="32" t="str">
        <x:v>JPY</x:v>
      </x:c>
      <x:c r="K23" s="32" t="str">
        <x:v>1상자</x:v>
      </x:c>
      <x:c r="L23" s="32" t="str">
        <x:v>고정형</x:v>
      </x:c>
      <x:c r="M23" s="32" t="str">
        <x:v>일반</x:v>
      </x:c>
      <x:c r="N23" s="32" t="str">
        <x:v>A 공식</x:v>
      </x:c>
      <x:c r="O23" s="32" t="str">
        <x:v>예</x:v>
      </x:c>
      <x:c r="P23" s="32" t="str">
        <x:v>확정 1차</x:v>
      </x:c>
      <x:c r="Q23" s="40" t="n">
        <x:v>46298</x:v>
      </x:c>
      <x:c r="R23" s="32" t="str">
        <x:v>2026</x:v>
      </x:c>
      <x:c r="S23" s="21" t="str">
        <x:v>551 HORAI</x:v>
      </x:c>
      <x:c r="T23" s="42" t="str">
        <x:v>https://www.551horai.co.jp/menu/butaman/</x:v>
      </x:c>
      <x:c r="U23" s="21" t="str">
        <x:v>당일 생산·판매</x:v>
      </x:c>
    </x:row>
    <x:row r="24" ht="34" customHeight="1">
      <x:c r="A24" s="33" t="str">
        <x:v>OSA-SV-003</x:v>
      </x:c>
      <x:c r="B24" s="33" t="str">
        <x:v>일본</x:v>
      </x:c>
      <x:c r="C24" s="33" t="str">
        <x:v>오사카</x:v>
      </x:c>
      <x:c r="D24" s="33" t="str">
        <x:v>기념품</x:v>
      </x:c>
      <x:c r="E24" s="33" t="str">
        <x:v>식품</x:v>
      </x:c>
      <x:c r="F24" s="22" t="str">
        <x:v>리쿠로 선물 파이 8개</x:v>
      </x:c>
      <x:c r="G24" s="22" t="str">
        <x:v>Rikuro Gift Pie 8 pcs</x:v>
      </x:c>
      <x:c r="H24" s="39" t="n">
        <x:v>980</x:v>
      </x:c>
      <x:c r="I24" s="39" t="n">
        <x:v>980</x:v>
      </x:c>
      <x:c r="J24" s="33" t="str">
        <x:v>JPY</x:v>
      </x:c>
      <x:c r="K24" s="33" t="str">
        <x:v>1상자</x:v>
      </x:c>
      <x:c r="L24" s="33" t="str">
        <x:v>고정형</x:v>
      </x:c>
      <x:c r="M24" s="33" t="str">
        <x:v>일반</x:v>
      </x:c>
      <x:c r="N24" s="33" t="str">
        <x:v>A 공식</x:v>
      </x:c>
      <x:c r="O24" s="33" t="str">
        <x:v>조건부</x:v>
      </x:c>
      <x:c r="P24" s="33" t="str">
        <x:v>재검증</x:v>
      </x:c>
      <x:c r="Q24" s="41" t="n">
        <x:v>46298</x:v>
      </x:c>
      <x:c r="R24" s="33" t="str">
        <x:v>2026</x:v>
      </x:c>
      <x:c r="S24" s="22" t="str">
        <x:v>Rikuro</x:v>
      </x:c>
      <x:c r="T24" s="43" t="str">
        <x:v>https://www.rikuro.co.jp/newsitem/1647.html</x:v>
      </x:c>
      <x:c r="U24" s="22" t="str">
        <x:v>페이지 가격 재확인 필요</x:v>
      </x:c>
    </x:row>
    <x:row r="25" ht="34" customHeight="1">
      <x:c r="A25" s="32" t="str">
        <x:v>BKK-TR-001</x:v>
      </x:c>
      <x:c r="B25" s="32" t="str">
        <x:v>태국</x:v>
      </x:c>
      <x:c r="C25" s="32" t="str">
        <x:v>방콕</x:v>
      </x:c>
      <x:c r="D25" s="32" t="str">
        <x:v>교통</x:v>
      </x:c>
      <x:c r="E25" s="32" t="str">
        <x:v>무제한권</x:v>
      </x:c>
      <x:c r="F25" s="21" t="str">
        <x:v>BTS 1일권</x:v>
      </x:c>
      <x:c r="G25" s="21" t="str">
        <x:v>BTS One-Day Pass</x:v>
      </x:c>
      <x:c r="H25" s="38" t="n">
        <x:v>150</x:v>
      </x:c>
      <x:c r="I25" s="38" t="n">
        <x:v>150</x:v>
      </x:c>
      <x:c r="J25" s="32" t="str">
        <x:v>THB</x:v>
      </x:c>
      <x:c r="K25" s="32" t="str">
        <x:v>1인/당일</x:v>
      </x:c>
      <x:c r="L25" s="32" t="str">
        <x:v>고정형</x:v>
      </x:c>
      <x:c r="M25" s="32" t="str">
        <x:v>일반</x:v>
      </x:c>
      <x:c r="N25" s="32" t="str">
        <x:v>A 공식</x:v>
      </x:c>
      <x:c r="O25" s="32" t="str">
        <x:v>예</x:v>
      </x:c>
      <x:c r="P25" s="32" t="str">
        <x:v>확정 1차</x:v>
      </x:c>
      <x:c r="Q25" s="40" t="d">
        <x:v>2026-10-02T00:00:00.000Z</x:v>
      </x:c>
      <x:c r="R25" s="32" t="str">
        <x:v>2026</x:v>
      </x:c>
      <x:c r="S25" s="21" t="str">
        <x:v>BTS</x:v>
      </x:c>
      <x:c r="T25" s="42" t="str">
        <x:v>https://www.bts.co.th/eng/tickets/ticket-daypass.html</x:v>
      </x:c>
      <x:c r="U25" s="21" t="str">
        <x:v>발행/등록 당일 무제한</x:v>
      </x:c>
    </x:row>
    <x:row r="26" ht="34" customHeight="1">
      <x:c r="A26" s="33" t="str">
        <x:v>BKK-AT-001</x:v>
      </x:c>
      <x:c r="B26" s="33" t="str">
        <x:v>태국</x:v>
      </x:c>
      <x:c r="C26" s="33" t="str">
        <x:v>방콕</x:v>
      </x:c>
      <x:c r="D26" s="33" t="str">
        <x:v>관광</x:v>
      </x:c>
      <x:c r="E26" s="33" t="str">
        <x:v>궁전</x:v>
      </x:c>
      <x:c r="F26" s="22" t="str">
        <x:v>왕궁 외국인 입장권</x:v>
      </x:c>
      <x:c r="G26" s="22" t="str">
        <x:v>Grand Palace Foreign Visitor Ticket</x:v>
      </x:c>
      <x:c r="H26" s="39" t="n">
        <x:v>500</x:v>
      </x:c>
      <x:c r="I26" s="39" t="n">
        <x:v>500</x:v>
      </x:c>
      <x:c r="J26" s="33" t="str">
        <x:v>THB</x:v>
      </x:c>
      <x:c r="K26" s="33" t="str">
        <x:v>성인 1인</x:v>
      </x:c>
      <x:c r="L26" s="33" t="str">
        <x:v>고정형</x:v>
      </x:c>
      <x:c r="M26" s="33" t="str">
        <x:v>외국인</x:v>
      </x:c>
      <x:c r="N26" s="33" t="str">
        <x:v>A 공식</x:v>
      </x:c>
      <x:c r="O26" s="33" t="str">
        <x:v>예</x:v>
      </x:c>
      <x:c r="P26" s="33" t="str">
        <x:v>확정 1차</x:v>
      </x:c>
      <x:c r="Q26" s="41" t="d">
        <x:v>2026-10-02T00:00:00.000Z</x:v>
      </x:c>
      <x:c r="R26" s="33" t="str">
        <x:v>2026</x:v>
      </x:c>
      <x:c r="S26" s="22" t="str">
        <x:v>The Grand Palace</x:v>
      </x:c>
      <x:c r="T26" s="43" t="str">
        <x:v>https://www.royalgrandpalace.th/en/visit/practical-information</x:v>
      </x:c>
      <x:c r="U26" s="22" t="str">
        <x:v>왓 프라깨우·섬유박물관 포함</x:v>
      </x:c>
    </x:row>
    <x:row r="27" ht="34" customHeight="1">
      <x:c r="A27" s="32" t="str">
        <x:v>BKK-AT-002</x:v>
      </x:c>
      <x:c r="B27" s="32" t="str">
        <x:v>태국</x:v>
      </x:c>
      <x:c r="C27" s="32" t="str">
        <x:v>방콕</x:v>
      </x:c>
      <x:c r="D27" s="32" t="str">
        <x:v>관광</x:v>
      </x:c>
      <x:c r="E27" s="32" t="str">
        <x:v>사원</x:v>
      </x:c>
      <x:c r="F27" s="21" t="str">
        <x:v>왓 아룬 입장권</x:v>
      </x:c>
      <x:c r="G27" s="21" t="str">
        <x:v>Wat Arun Admission</x:v>
      </x:c>
      <x:c r="H27" s="38" t="n">
        <x:v>200</x:v>
      </x:c>
      <x:c r="I27" s="38" t="n">
        <x:v>200</x:v>
      </x:c>
      <x:c r="J27" s="32" t="str">
        <x:v>THB</x:v>
      </x:c>
      <x:c r="K27" s="32" t="str">
        <x:v>외국인 1인</x:v>
      </x:c>
      <x:c r="L27" s="32" t="str">
        <x:v>고정형</x:v>
      </x:c>
      <x:c r="M27" s="32" t="str">
        <x:v>외국인</x:v>
      </x:c>
      <x:c r="N27" s="32" t="str">
        <x:v>B 공공</x:v>
      </x:c>
      <x:c r="O27" s="32" t="str">
        <x:v>조건부</x:v>
      </x:c>
      <x:c r="P27" s="32" t="str">
        <x:v>확정 1차</x:v>
      </x:c>
      <x:c r="Q27" s="40" t="d">
        <x:v>2026-10-02T00:00:00.000Z</x:v>
      </x:c>
      <x:c r="R27" s="32" t="str">
        <x:v>2026</x:v>
      </x:c>
      <x:c r="S27" s="21" t="str">
        <x:v>Tourism Authority of Thailand</x:v>
      </x:c>
      <x:c r="T27" s="42" t="str">
        <x:v>https://www.tourismthailand.org/Attraction/wat-arun-or-temple-of-dawn</x:v>
      </x:c>
      <x:c r="U27" s="21" t="str">
        <x:v>운영기관 직접 페이지 추가 수집</x:v>
      </x:c>
    </x:row>
    <x:row r="28" ht="34" customHeight="1">
      <x:c r="A28" s="33" t="str">
        <x:v>BKK-FD-001</x:v>
      </x:c>
      <x:c r="B28" s="33" t="str">
        <x:v>태국</x:v>
      </x:c>
      <x:c r="C28" s="33" t="str">
        <x:v>방콕</x:v>
      </x:c>
      <x:c r="D28" s="33" t="str">
        <x:v>외식</x:v>
      </x:c>
      <x:c r="E28" s="33" t="str">
        <x:v>저가 한끼</x:v>
      </x:c>
      <x:c r="F28" s="22" t="str">
        <x:v>태국식 볶음밥</x:v>
      </x:c>
      <x:c r="G28" s="22" t="str">
        <x:v>Khao Pad / Fried Rice</x:v>
      </x:c>
      <x:c r="H28" s="39" t="n">
        <x:v>129</x:v>
      </x:c>
      <x:c r="I28" s="39" t="n">
        <x:v>229</x:v>
      </x:c>
      <x:c r="J28" s="33" t="str">
        <x:v>THB</x:v>
      </x:c>
      <x:c r="K28" s="33" t="str">
        <x:v>1접시</x:v>
      </x:c>
      <x:c r="L28" s="33" t="str">
        <x:v>재료형</x:v>
      </x:c>
      <x:c r="M28" s="33" t="str">
        <x:v>일반</x:v>
      </x:c>
      <x:c r="N28" s="33" t="str">
        <x:v>A 공식</x:v>
      </x:c>
      <x:c r="O28" s="33" t="str">
        <x:v>예</x:v>
      </x:c>
      <x:c r="P28" s="33" t="str">
        <x:v>확정 1차</x:v>
      </x:c>
      <x:c r="Q28" s="41" t="n">
        <x:v>46298</x:v>
      </x:c>
      <x:c r="R28" s="33" t="str">
        <x:v>2026</x:v>
      </x:c>
      <x:c r="S28" s="22" t="str">
        <x:v>Bully's Bangkok</x:v>
      </x:c>
      <x:c r="T28" s="43" t="str">
        <x:v>https://bullys-bangkok.com/menu/thaidishes/</x:v>
      </x:c>
      <x:c r="U28" s="22" t="str">
        <x:v>채소 129, 돼지/닭 169, 새우 229</x:v>
      </x:c>
    </x:row>
    <x:row r="29" ht="34" customHeight="1">
      <x:c r="A29" s="32" t="str">
        <x:v>BKK-FD-002</x:v>
      </x:c>
      <x:c r="B29" s="32" t="str">
        <x:v>태국</x:v>
      </x:c>
      <x:c r="C29" s="32" t="str">
        <x:v>방콕</x:v>
      </x:c>
      <x:c r="D29" s="32" t="str">
        <x:v>외식</x:v>
      </x:c>
      <x:c r="E29" s="32" t="str">
        <x:v>중가 한끼</x:v>
      </x:c>
      <x:c r="F29" s="21" t="str">
        <x:v>라브</x:v>
      </x:c>
      <x:c r="G29" s="21" t="str">
        <x:v>Larb</x:v>
      </x:c>
      <x:c r="H29" s="38" t="n">
        <x:v>169</x:v>
      </x:c>
      <x:c r="I29" s="38" t="n">
        <x:v>229</x:v>
      </x:c>
      <x:c r="J29" s="32" t="str">
        <x:v>THB</x:v>
      </x:c>
      <x:c r="K29" s="32" t="str">
        <x:v>1접시</x:v>
      </x:c>
      <x:c r="L29" s="32" t="str">
        <x:v>재료형</x:v>
      </x:c>
      <x:c r="M29" s="32" t="str">
        <x:v>일반</x:v>
      </x:c>
      <x:c r="N29" s="32" t="str">
        <x:v>A 공식</x:v>
      </x:c>
      <x:c r="O29" s="32" t="str">
        <x:v>예</x:v>
      </x:c>
      <x:c r="P29" s="32" t="str">
        <x:v>확정 1차</x:v>
      </x:c>
      <x:c r="Q29" s="40" t="n">
        <x:v>46298</x:v>
      </x:c>
      <x:c r="R29" s="32" t="str">
        <x:v>2026</x:v>
      </x:c>
      <x:c r="S29" s="21" t="str">
        <x:v>Bully's Bangkok</x:v>
      </x:c>
      <x:c r="T29" s="42" t="str">
        <x:v>https://bullys-bangkok.com/menu/thaidishes/</x:v>
      </x:c>
      <x:c r="U29" s="21" t="str">
        <x:v>돼지/닭 169, 소 229</x:v>
      </x:c>
    </x:row>
    <x:row r="30" ht="34" customHeight="1">
      <x:c r="A30" s="33" t="str">
        <x:v>BKK-FD-003</x:v>
      </x:c>
      <x:c r="B30" s="33" t="str">
        <x:v>태국</x:v>
      </x:c>
      <x:c r="C30" s="33" t="str">
        <x:v>방콕</x:v>
      </x:c>
      <x:c r="D30" s="33" t="str">
        <x:v>외식</x:v>
      </x:c>
      <x:c r="E30" s="33" t="str">
        <x:v>프리미엄 한끼</x:v>
      </x:c>
      <x:c r="F30" s="22" t="str">
        <x:v>강새우 팟타이</x:v>
      </x:c>
      <x:c r="G30" s="22" t="str">
        <x:v>Pad Thai Chaiya with River Prawn</x:v>
      </x:c>
      <x:c r="H30" s="39" t="n">
        <x:v>450</x:v>
      </x:c>
      <x:c r="I30" s="39" t="n">
        <x:v>450</x:v>
      </x:c>
      <x:c r="J30" s="33" t="str">
        <x:v>THB</x:v>
      </x:c>
      <x:c r="K30" s="33" t="str">
        <x:v>1접시</x:v>
      </x:c>
      <x:c r="L30" s="33" t="str">
        <x:v>고정형</x:v>
      </x:c>
      <x:c r="M30" s="33" t="str">
        <x:v>일반</x:v>
      </x:c>
      <x:c r="N30" s="33" t="str">
        <x:v>A 공식</x:v>
      </x:c>
      <x:c r="O30" s="33" t="str">
        <x:v>예</x:v>
      </x:c>
      <x:c r="P30" s="33" t="str">
        <x:v>확정 1차</x:v>
      </x:c>
      <x:c r="Q30" s="41" t="n">
        <x:v>46298</x:v>
      </x:c>
      <x:c r="R30" s="33" t="str">
        <x:v>2026</x:v>
      </x:c>
      <x:c r="S30" s="22" t="str">
        <x:v>ChomSindh at Amari Bangkok</x:v>
      </x:c>
      <x:c r="T30" s="43" t="str">
        <x:v>https://www.amari.com/bangkok/dine/chomsindh</x:v>
      </x:c>
      <x:c r="U30" s="22" t="str">
        <x:v>450++: 세금·서비스료 별도</x:v>
      </x:c>
    </x:row>
    <x:row r="31" ht="34" customHeight="1">
      <x:c r="A31" s="32" t="str">
        <x:v>BKK-SV-001</x:v>
      </x:c>
      <x:c r="B31" s="32" t="str">
        <x:v>태국</x:v>
      </x:c>
      <x:c r="C31" s="32" t="str">
        <x:v>방콕</x:v>
      </x:c>
      <x:c r="D31" s="32" t="str">
        <x:v>기념품</x:v>
      </x:c>
      <x:c r="E31" s="32" t="str">
        <x:v>패션</x:v>
      </x:c>
      <x:c r="F31" s="21" t="str">
        <x:v>실크 소형 파우치</x:v>
      </x:c>
      <x:c r="G31" s="21" t="str">
        <x:v>Silk Small Pouch</x:v>
      </x:c>
      <x:c r="H31" s="38" t="n">
        <x:v>1150</x:v>
      </x:c>
      <x:c r="I31" s="38" t="n">
        <x:v>1150</x:v>
      </x:c>
      <x:c r="J31" s="32" t="str">
        <x:v>THB</x:v>
      </x:c>
      <x:c r="K31" s="32" t="str">
        <x:v>1개</x:v>
      </x:c>
      <x:c r="L31" s="32" t="str">
        <x:v>재고형</x:v>
      </x:c>
      <x:c r="M31" s="32" t="str">
        <x:v>일반</x:v>
      </x:c>
      <x:c r="N31" s="32" t="str">
        <x:v>D 보류</x:v>
      </x:c>
      <x:c r="O31" s="32" t="str">
        <x:v>아니오</x:v>
      </x:c>
      <x:c r="P31" s="32" t="str">
        <x:v>보류</x:v>
      </x:c>
      <x:c r="Q31" s="40" t="n">
        <x:v>46298</x:v>
      </x:c>
      <x:c r="R31" s="32" t="str">
        <x:v>2026</x:v>
      </x:c>
      <x:c r="S31" s="21" t="str">
        <x:v>Jim Thompson</x:v>
      </x:c>
      <x:c r="T31" s="42" t="str">
        <x:v>https://www.jimthompson.com/collections/the-blue-jasmine-x-jim-thompson?page=2</x:v>
      </x:c>
      <x:c r="U31" s="21" t="str">
        <x:v>v0.4 보류: 기존 1150–1150 THB는 공식 가격으로 확인되지 않아 계산에서 제외. 이전 컬렉션의 정확한 상품 페이지를 더 이상 확인하지 못함. 현재 판매 중인 동종 상품은 BKK-SV-004로 대체.</x:v>
      </x:c>
    </x:row>
    <x:row r="32" ht="34" customHeight="1">
      <x:c r="A32" s="33" t="str">
        <x:v>BKK-SV-002</x:v>
      </x:c>
      <x:c r="B32" s="33" t="str">
        <x:v>태국</x:v>
      </x:c>
      <x:c r="C32" s="33" t="str">
        <x:v>방콕</x:v>
      </x:c>
      <x:c r="D32" s="33" t="str">
        <x:v>기념품</x:v>
      </x:c>
      <x:c r="E32" s="33" t="str">
        <x:v>패션</x:v>
      </x:c>
      <x:c r="F32" s="22" t="str">
        <x:v>코인 카드 지갑</x:v>
      </x:c>
      <x:c r="G32" s="22" t="str">
        <x:v>Coin Card Purse</x:v>
      </x:c>
      <x:c r="H32" s="39" t="n">
        <x:v>950</x:v>
      </x:c>
      <x:c r="I32" s="39" t="n">
        <x:v>950</x:v>
      </x:c>
      <x:c r="J32" s="33" t="str">
        <x:v>THB</x:v>
      </x:c>
      <x:c r="K32" s="33" t="str">
        <x:v>1개</x:v>
      </x:c>
      <x:c r="L32" s="33" t="str">
        <x:v>재고형</x:v>
      </x:c>
      <x:c r="M32" s="33" t="str">
        <x:v>일반</x:v>
      </x:c>
      <x:c r="N32" s="33" t="str">
        <x:v>D 보류</x:v>
      </x:c>
      <x:c r="O32" s="33" t="str">
        <x:v>아니오</x:v>
      </x:c>
      <x:c r="P32" s="33" t="str">
        <x:v>보류</x:v>
      </x:c>
      <x:c r="Q32" s="41" t="n">
        <x:v>46298</x:v>
      </x:c>
      <x:c r="R32" s="33" t="str">
        <x:v>2026</x:v>
      </x:c>
      <x:c r="S32" s="22" t="str">
        <x:v>Jim Thompson</x:v>
      </x:c>
      <x:c r="T32" s="43" t="str">
        <x:v>https://www.jimthompson.com/collections/the-blue-jasmine-x-jim-thompson?page=2</x:v>
      </x:c>
      <x:c r="U32" s="22" t="str">
        <x:v>v0.4 보류: 기존 950–950 THB는 공식 가격으로 확인되지 않아 계산에서 제외. 이전 컬렉션의 정확한 상품 페이지를 더 이상 확인하지 못함. 현재 판매 중인 동종 상품은 BKK-SV-005로 대체.</x:v>
      </x:c>
    </x:row>
    <x:row r="33" ht="34" customHeight="1">
      <x:c r="A33" s="32" t="str">
        <x:v>DAD-TR-001</x:v>
      </x:c>
      <x:c r="B33" s="32" t="str">
        <x:v>베트남</x:v>
      </x:c>
      <x:c r="C33" s="32" t="str">
        <x:v>다낭</x:v>
      </x:c>
      <x:c r="D33" s="32" t="str">
        <x:v>교통</x:v>
      </x:c>
      <x:c r="E33" s="32" t="str">
        <x:v>시내버스</x:v>
      </x:c>
      <x:c r="F33" s="21" t="str">
        <x:v>버스터미널-도심 21번 버스</x:v>
      </x:c>
      <x:c r="G33" s="21" t="str">
        <x:v>Bus Route 21 to City Centre</x:v>
      </x:c>
      <x:c r="H33" s="38" t="n">
        <x:v>8000</x:v>
      </x:c>
      <x:c r="I33" s="38" t="n">
        <x:v>8000</x:v>
      </x:c>
      <x:c r="J33" s="32" t="str">
        <x:v>VND</x:v>
      </x:c>
      <x:c r="K33" s="32" t="str">
        <x:v>1회</x:v>
      </x:c>
      <x:c r="L33" s="32" t="str">
        <x:v>고정형</x:v>
      </x:c>
      <x:c r="M33" s="32" t="str">
        <x:v>일반</x:v>
      </x:c>
      <x:c r="N33" s="32" t="str">
        <x:v>B 공공</x:v>
      </x:c>
      <x:c r="O33" s="32" t="str">
        <x:v>아니오</x:v>
      </x:c>
      <x:c r="P33" s="32" t="str">
        <x:v>갱신 필요</x:v>
      </x:c>
      <x:c r="Q33" s="40" t="d">
        <x:v>2026-10-02T00:00:00.000Z</x:v>
      </x:c>
      <x:c r="R33" s="32" t="str">
        <x:v>2025</x:v>
      </x:c>
      <x:c r="S33" s="21" t="str">
        <x:v>Visit Da Nang</x:v>
      </x:c>
      <x:c r="T33" s="42" t="str">
        <x:v>https://visitdanang.travel/en/fastest-directions-from-da-nang-bus-station-to-the-city-center-5510</x:v>
      </x:c>
      <x:c r="U33" s="21" t="str">
        <x:v>2025 적용가로 명시; 2026 운영기관 확인 전 모델 제외</x:v>
      </x:c>
    </x:row>
    <x:row r="34" ht="34" customHeight="1">
      <x:c r="A34" s="33" t="str">
        <x:v>DAD-TR-002</x:v>
      </x:c>
      <x:c r="B34" s="33" t="str">
        <x:v>베트남</x:v>
      </x:c>
      <x:c r="C34" s="33" t="str">
        <x:v>다낭</x:v>
      </x:c>
      <x:c r="D34" s="33" t="str">
        <x:v>교통</x:v>
      </x:c>
      <x:c r="E34" s="33" t="str">
        <x:v>택시</x:v>
      </x:c>
      <x:c r="F34" s="22" t="str">
        <x:v>버스터미널-도심 택시</x:v>
      </x:c>
      <x:c r="G34" s="22" t="str">
        <x:v>Bus Station to City Centre Taxi</x:v>
      </x:c>
      <x:c r="H34" s="39" t="n">
        <x:v>50000</x:v>
      </x:c>
      <x:c r="I34" s="39" t="n">
        <x:v>120000</x:v>
      </x:c>
      <x:c r="J34" s="33" t="str">
        <x:v>VND</x:v>
      </x:c>
      <x:c r="K34" s="33" t="str">
        <x:v>1회</x:v>
      </x:c>
      <x:c r="L34" s="33" t="str">
        <x:v>수요형</x:v>
      </x:c>
      <x:c r="M34" s="33" t="str">
        <x:v>일반</x:v>
      </x:c>
      <x:c r="N34" s="33" t="str">
        <x:v>B 공공</x:v>
      </x:c>
      <x:c r="O34" s="33" t="str">
        <x:v>조건부</x:v>
      </x:c>
      <x:c r="P34" s="33" t="str">
        <x:v>확정 1차</x:v>
      </x:c>
      <x:c r="Q34" s="41" t="d">
        <x:v>2026-10-02T00:00:00.000Z</x:v>
      </x:c>
      <x:c r="R34" s="33" t="str">
        <x:v>2026</x:v>
      </x:c>
      <x:c r="S34" s="22" t="str">
        <x:v>Visit Da Nang</x:v>
      </x:c>
      <x:c r="T34" s="43" t="str">
        <x:v>https://visitdanang.travel/en/fastest-directions-from-da-nang-bus-station-to-the-city-center-5510</x:v>
      </x:c>
      <x:c r="U34" s="22" t="str">
        <x:v>시간·교통·목적지에 따라 변동</x:v>
      </x:c>
    </x:row>
    <x:row r="35" ht="34" customHeight="1">
      <x:c r="A35" s="32" t="str">
        <x:v>DAD-TR-003</x:v>
      </x:c>
      <x:c r="B35" s="32" t="str">
        <x:v>베트남</x:v>
      </x:c>
      <x:c r="C35" s="32" t="str">
        <x:v>다낭</x:v>
      </x:c>
      <x:c r="D35" s="32" t="str">
        <x:v>교통</x:v>
      </x:c>
      <x:c r="E35" s="32" t="str">
        <x:v>전용차</x:v>
      </x:c>
      <x:c r="F35" s="21" t="str">
        <x:v>4~7인승 전용차</x:v>
      </x:c>
      <x:c r="G35" s="21" t="str">
        <x:v>Private Car 4-7 Seats</x:v>
      </x:c>
      <x:c r="H35" s="38" t="n">
        <x:v>250000</x:v>
      </x:c>
      <x:c r="I35" s="38" t="n">
        <x:v>350000</x:v>
      </x:c>
      <x:c r="J35" s="32" t="str">
        <x:v>VND</x:v>
      </x:c>
      <x:c r="K35" s="32" t="str">
        <x:v>차량 1대</x:v>
      </x:c>
      <x:c r="L35" s="32" t="str">
        <x:v>수요형</x:v>
      </x:c>
      <x:c r="M35" s="32" t="str">
        <x:v>그룹</x:v>
      </x:c>
      <x:c r="N35" s="32" t="str">
        <x:v>B 공공</x:v>
      </x:c>
      <x:c r="O35" s="32" t="str">
        <x:v>조건부</x:v>
      </x:c>
      <x:c r="P35" s="32" t="str">
        <x:v>확정 1차</x:v>
      </x:c>
      <x:c r="Q35" s="40" t="d">
        <x:v>2026-10-02T00:00:00.000Z</x:v>
      </x:c>
      <x:c r="R35" s="32" t="str">
        <x:v>2026</x:v>
      </x:c>
      <x:c r="S35" s="21" t="str">
        <x:v>Visit Da Nang</x:v>
      </x:c>
      <x:c r="T35" s="42" t="str">
        <x:v>https://visitdanang.travel/en/fastest-directions-from-da-nang-bus-station-to-the-city-center-5510</x:v>
      </x:c>
      <x:c r="U35" s="21" t="str">
        <x:v>차종·업체별 변동</x:v>
      </x:c>
    </x:row>
    <x:row r="36" ht="34" customHeight="1">
      <x:c r="A36" s="33" t="str">
        <x:v>DAD-TR-004</x:v>
      </x:c>
      <x:c r="B36" s="33" t="str">
        <x:v>베트남</x:v>
      </x:c>
      <x:c r="C36" s="33" t="str">
        <x:v>다낭</x:v>
      </x:c>
      <x:c r="D36" s="33" t="str">
        <x:v>교통</x:v>
      </x:c>
      <x:c r="E36" s="33" t="str">
        <x:v>관광 셔틀</x:v>
      </x:c>
      <x:c r="F36" s="22" t="str">
        <x:v>도심-바나힐 왕복 관광버스</x:v>
      </x:c>
      <x:c r="G36" s="22" t="str">
        <x:v>City Centre–Ba Na Hills Round Trip Bus</x:v>
      </x:c>
      <x:c r="H36" s="39" t="n">
        <x:v>130000</x:v>
      </x:c>
      <x:c r="I36" s="39" t="n">
        <x:v>130000</x:v>
      </x:c>
      <x:c r="J36" s="33" t="str">
        <x:v>VND</x:v>
      </x:c>
      <x:c r="K36" s="33" t="str">
        <x:v>1인 왕복</x:v>
      </x:c>
      <x:c r="L36" s="33" t="str">
        <x:v>고정형</x:v>
      </x:c>
      <x:c r="M36" s="33" t="str">
        <x:v>일반</x:v>
      </x:c>
      <x:c r="N36" s="33" t="str">
        <x:v>B 공공</x:v>
      </x:c>
      <x:c r="O36" s="33" t="str">
        <x:v>조건부</x:v>
      </x:c>
      <x:c r="P36" s="33" t="str">
        <x:v>재검증</x:v>
      </x:c>
      <x:c r="Q36" s="41" t="d">
        <x:v>2026-10-02T00:00:00.000Z</x:v>
      </x:c>
      <x:c r="R36" s="33" t="str">
        <x:v>2026</x:v>
      </x:c>
      <x:c r="S36" s="22" t="str">
        <x:v>Visit Da Nang</x:v>
      </x:c>
      <x:c r="T36" s="43" t="str">
        <x:v>https://visitdanang.travel/</x:v>
      </x:c>
      <x:c r="U36" s="22" t="str">
        <x:v>운행일·예약조건 추가 확인</x:v>
      </x:c>
    </x:row>
    <x:row r="37" ht="34" customHeight="1">
      <x:c r="A37" s="32" t="str">
        <x:v>DAD-AT-001</x:v>
      </x:c>
      <x:c r="B37" s="32" t="str">
        <x:v>베트남</x:v>
      </x:c>
      <x:c r="C37" s="32" t="str">
        <x:v>다낭</x:v>
      </x:c>
      <x:c r="D37" s="32" t="str">
        <x:v>관광</x:v>
      </x:c>
      <x:c r="E37" s="32" t="str">
        <x:v>테마파크</x:v>
      </x:c>
      <x:c r="F37" s="21" t="str">
        <x:v>선월드 바나힐 입장권</x:v>
      </x:c>
      <x:c r="G37" s="21" t="str">
        <x:v>Sun World Ba Na Hills Ticket</x:v>
      </x:c>
      <x:c r="H37" s="38" t="n">
        <x:v>950000</x:v>
      </x:c>
      <x:c r="I37" s="38" t="n">
        <x:v>950000</x:v>
      </x:c>
      <x:c r="J37" s="32" t="str">
        <x:v>VND</x:v>
      </x:c>
      <x:c r="K37" s="32" t="str">
        <x:v>성인 1인</x:v>
      </x:c>
      <x:c r="L37" s="32" t="str">
        <x:v>일정/대상형</x:v>
      </x:c>
      <x:c r="M37" s="32" t="str">
        <x:v>비거주자</x:v>
      </x:c>
      <x:c r="N37" s="32" t="str">
        <x:v>A 공식</x:v>
      </x:c>
      <x:c r="O37" s="32" t="str">
        <x:v>조건부</x:v>
      </x:c>
      <x:c r="P37" s="32" t="str">
        <x:v>재검증</x:v>
      </x:c>
      <x:c r="Q37" s="40" t="d">
        <x:v>2026-10-02T00:00:00.000Z</x:v>
      </x:c>
      <x:c r="R37" s="32" t="str">
        <x:v>2026</x:v>
      </x:c>
      <x:c r="S37" s="21" t="str">
        <x:v>Sun World Ba Na Hills</x:v>
      </x:c>
      <x:c r="T37" s="42" t="str">
        <x:v>https://banahills.sunworld.vn/en/ticket-price</x:v>
      </x:c>
      <x:c r="U37" s="21" t="str">
        <x:v>거주자·기간 프로모션과 분리 필요</x:v>
      </x:c>
    </x:row>
    <x:row r="38" ht="34" customHeight="1">
      <x:c r="A38" s="33" t="str">
        <x:v>DAD-AT-002</x:v>
      </x:c>
      <x:c r="B38" s="33" t="str">
        <x:v>베트남</x:v>
      </x:c>
      <x:c r="C38" s="33" t="str">
        <x:v>다낭</x:v>
      </x:c>
      <x:c r="D38" s="33" t="str">
        <x:v>관광</x:v>
      </x:c>
      <x:c r="E38" s="33" t="str">
        <x:v>자연명소</x:v>
      </x:c>
      <x:c r="F38" s="22" t="str">
        <x:v>오행산 입장권</x:v>
      </x:c>
      <x:c r="G38" s="22" t="str">
        <x:v>Marble Mountains Admission</x:v>
      </x:c>
      <x:c r="H38" s="39" t="n">
        <x:v>40000</x:v>
      </x:c>
      <x:c r="I38" s="39" t="n">
        <x:v>40000</x:v>
      </x:c>
      <x:c r="J38" s="33" t="str">
        <x:v>VND</x:v>
      </x:c>
      <x:c r="K38" s="33" t="str">
        <x:v>성인 1인</x:v>
      </x:c>
      <x:c r="L38" s="33" t="str">
        <x:v>고정형</x:v>
      </x:c>
      <x:c r="M38" s="33" t="str">
        <x:v>일반</x:v>
      </x:c>
      <x:c r="N38" s="33" t="str">
        <x:v>C 보조</x:v>
      </x:c>
      <x:c r="O38" s="33" t="str">
        <x:v>조건부</x:v>
      </x:c>
      <x:c r="P38" s="33" t="str">
        <x:v>재검증</x:v>
      </x:c>
      <x:c r="Q38" s="41" t="d">
        <x:v>2026-10-02T00:00:00.000Z</x:v>
      </x:c>
      <x:c r="R38" s="33" t="str">
        <x:v>2026</x:v>
      </x:c>
      <x:c r="S38" s="22" t="str">
        <x:v>Marble Mountains visitor guide</x:v>
      </x:c>
      <x:c r="T38" s="43" t="str">
        <x:v>https://nguhanhson.org/</x:v>
      </x:c>
      <x:c r="U38" s="22" t="str">
        <x:v>지자체/매표소 가격표 추가 확보</x:v>
      </x:c>
    </x:row>
    <x:row r="39" ht="34" customHeight="1">
      <x:c r="A39" s="32" t="str">
        <x:v>DAD-AT-003</x:v>
      </x:c>
      <x:c r="B39" s="32" t="str">
        <x:v>베트남</x:v>
      </x:c>
      <x:c r="C39" s="32" t="str">
        <x:v>다낭</x:v>
      </x:c>
      <x:c r="D39" s="32" t="str">
        <x:v>관광</x:v>
      </x:c>
      <x:c r="E39" s="32" t="str">
        <x:v>시설</x:v>
      </x:c>
      <x:c r="F39" s="21" t="str">
        <x:v>오행산 엘리베이터 왕복</x:v>
      </x:c>
      <x:c r="G39" s="21" t="str">
        <x:v>Marble Mountains Elevator Round Trip</x:v>
      </x:c>
      <x:c r="H39" s="38" t="n">
        <x:v>30000</x:v>
      </x:c>
      <x:c r="I39" s="38" t="n">
        <x:v>30000</x:v>
      </x:c>
      <x:c r="J39" s="32" t="str">
        <x:v>VND</x:v>
      </x:c>
      <x:c r="K39" s="32" t="str">
        <x:v>1인 왕복</x:v>
      </x:c>
      <x:c r="L39" s="32" t="str">
        <x:v>고정형</x:v>
      </x:c>
      <x:c r="M39" s="32" t="str">
        <x:v>일반</x:v>
      </x:c>
      <x:c r="N39" s="32" t="str">
        <x:v>C 보조</x:v>
      </x:c>
      <x:c r="O39" s="32" t="str">
        <x:v>조건부</x:v>
      </x:c>
      <x:c r="P39" s="32" t="str">
        <x:v>재검증</x:v>
      </x:c>
      <x:c r="Q39" s="40" t="d">
        <x:v>2026-10-02T00:00:00.000Z</x:v>
      </x:c>
      <x:c r="R39" s="32" t="str">
        <x:v>2026</x:v>
      </x:c>
      <x:c r="S39" s="21" t="str">
        <x:v>Marble Mountains visitor guide</x:v>
      </x:c>
      <x:c r="T39" s="42" t="str">
        <x:v>https://nguhanhson.org/</x:v>
      </x:c>
      <x:c r="U39" s="21" t="str">
        <x:v>입장권과 별도</x:v>
      </x:c>
    </x:row>
    <x:row r="40" ht="34" customHeight="1">
      <x:c r="A40" s="33" t="str">
        <x:v>DAD-FD-001</x:v>
      </x:c>
      <x:c r="B40" s="33" t="str">
        <x:v>베트남</x:v>
      </x:c>
      <x:c r="C40" s="33" t="str">
        <x:v>다낭</x:v>
      </x:c>
      <x:c r="D40" s="33" t="str">
        <x:v>외식</x:v>
      </x:c>
      <x:c r="E40" s="33" t="str">
        <x:v>저가 한끼</x:v>
      </x:c>
      <x:c r="F40" s="22" t="str">
        <x:v>미꽝/반깐 길거리 한그릇</x:v>
      </x:c>
      <x:c r="G40" s="22" t="str">
        <x:v>Basic Mi Quang or Banh Canh</x:v>
      </x:c>
      <x:c r="H40" s="39" t="n">
        <x:v>30000</x:v>
      </x:c>
      <x:c r="I40" s="39" t="n">
        <x:v>50000</x:v>
      </x:c>
      <x:c r="J40" s="33" t="str">
        <x:v>VND</x:v>
      </x:c>
      <x:c r="K40" s="33" t="str">
        <x:v>1그릇</x:v>
      </x:c>
      <x:c r="L40" s="33" t="str">
        <x:v>시장형</x:v>
      </x:c>
      <x:c r="M40" s="33" t="str">
        <x:v>일반</x:v>
      </x:c>
      <x:c r="N40" s="33" t="str">
        <x:v>D 보류</x:v>
      </x:c>
      <x:c r="O40" s="33" t="str">
        <x:v>아니오</x:v>
      </x:c>
      <x:c r="P40" s="33" t="str">
        <x:v>보류</x:v>
      </x:c>
      <x:c r="Q40" s="41" t="n">
        <x:v>46298</x:v>
      </x:c>
      <x:c r="R40" s="33" t="str">
        <x:v>2026-08-29</x:v>
      </x:c>
      <x:c r="S40" s="22" t="str">
        <x:v>Vietnam Tourism</x:v>
      </x:c>
      <x:c r="T40" s="43" t="str">
        <x:v>https://www.vietnamtourism.com/en/da-nang-food-scene-what-and-where-to-eat</x:v>
      </x:c>
      <x:c r="U40" s="22" t="str">
        <x:v>v0.4 보류: 기존 30000–50000 VND는 공식 가격으로 확인되지 않아 계산에서 제외. 일반 길거리 음식 범위라 특정 판매점과 공식 가격표를 특정하지 못함.</x:v>
      </x:c>
    </x:row>
    <x:row r="41" ht="34" customHeight="1">
      <x:c r="A41" s="32" t="str">
        <x:v>DAD-FD-002</x:v>
      </x:c>
      <x:c r="B41" s="32" t="str">
        <x:v>베트남</x:v>
      </x:c>
      <x:c r="C41" s="32" t="str">
        <x:v>다낭</x:v>
      </x:c>
      <x:c r="D41" s="32" t="str">
        <x:v>외식</x:v>
      </x:c>
      <x:c r="E41" s="32" t="str">
        <x:v>중가 한끼</x:v>
      </x:c>
      <x:c r="F41" s="21" t="str">
        <x:v>미꽝 개구리 전문점</x:v>
      </x:c>
      <x:c r="G41" s="21" t="str">
        <x:v>Mi Quang Ech at Bep Trang</x:v>
      </x:c>
      <x:c r="H41" s="38" t="n">
        <x:v>34000</x:v>
      </x:c>
      <x:c r="I41" s="38" t="n">
        <x:v>97000</x:v>
      </x:c>
      <x:c r="J41" s="32" t="str">
        <x:v>VND</x:v>
      </x:c>
      <x:c r="K41" s="32" t="str">
        <x:v>1메뉴</x:v>
      </x:c>
      <x:c r="L41" s="32" t="str">
        <x:v>메뉴형</x:v>
      </x:c>
      <x:c r="M41" s="32" t="str">
        <x:v>일반</x:v>
      </x:c>
      <x:c r="N41" s="32" t="str">
        <x:v>D 보류</x:v>
      </x:c>
      <x:c r="O41" s="32" t="str">
        <x:v>아니오</x:v>
      </x:c>
      <x:c r="P41" s="32" t="str">
        <x:v>보류</x:v>
      </x:c>
      <x:c r="Q41" s="40" t="n">
        <x:v>46298</x:v>
      </x:c>
      <x:c r="R41" s="32" t="str">
        <x:v>2025</x:v>
      </x:c>
      <x:c r="S41" s="21" t="str">
        <x:v>Bếp Trang</x:v>
      </x:c>
      <x:c r="T41" s="42" t="str">
        <x:v>https://www.facebook.com/miquangechbeptrangdanang/?locale=vi_VN</x:v>
      </x:c>
      <x:c r="U41" s="21" t="str">
        <x:v>v0.4 보류: 기존 34000–97000 VND는 공식 가격으로 확인되지 않아 계산에서 제외. 기존 범위는 제3자 메뉴 디렉터리 값이며 공식 점포 메뉴에서 현재가를 확인하지 못함.</x:v>
      </x:c>
    </x:row>
    <x:row r="42" ht="34" customHeight="1">
      <x:c r="A42" s="33" t="str">
        <x:v>DAD-FD-003</x:v>
      </x:c>
      <x:c r="B42" s="33" t="str">
        <x:v>베트남</x:v>
      </x:c>
      <x:c r="C42" s="33" t="str">
        <x:v>다낭</x:v>
      </x:c>
      <x:c r="D42" s="33" t="str">
        <x:v>외식</x:v>
      </x:c>
      <x:c r="E42" s="33" t="str">
        <x:v>메뉴 표본</x:v>
      </x:c>
      <x:c r="F42" s="22" t="str">
        <x:v>소고기 라롯잎 구이</x:v>
      </x:c>
      <x:c r="G42" s="22" t="str">
        <x:v>Grilled Minced Beef in Betel Leaf</x:v>
      </x:c>
      <x:c r="H42" s="39" t="n">
        <x:v>65000</x:v>
      </x:c>
      <x:c r="I42" s="39" t="n">
        <x:v>65000</x:v>
      </x:c>
      <x:c r="J42" s="33" t="str">
        <x:v>VND</x:v>
      </x:c>
      <x:c r="K42" s="33" t="str">
        <x:v>1접시</x:v>
      </x:c>
      <x:c r="L42" s="33" t="str">
        <x:v>고정형</x:v>
      </x:c>
      <x:c r="M42" s="33" t="str">
        <x:v>일반</x:v>
      </x:c>
      <x:c r="N42" s="33" t="str">
        <x:v>D 보류</x:v>
      </x:c>
      <x:c r="O42" s="33" t="str">
        <x:v>아니오</x:v>
      </x:c>
      <x:c r="P42" s="33" t="str">
        <x:v>보류</x:v>
      </x:c>
      <x:c r="Q42" s="41" t="d">
        <x:v>2026-10-02T00:00:00.000Z</x:v>
      </x:c>
      <x:c r="R42" s="33" t="str">
        <x:v>과거 메뉴</x:v>
      </x:c>
      <x:c r="S42" s="22" t="str">
        <x:v>Nơm Bistro menu archive</x:v>
      </x:c>
      <x:c r="T42" s="43" t="str">
        <x:v>https://www.slideshare.net/slideshow/full-menu-nom-bistro-da-nang/80201891</x:v>
      </x:c>
      <x:c r="U42" s="22" t="str">
        <x:v>날짜가 오래되어 모델 제외; 항목 정의 참고용</x:v>
      </x:c>
    </x:row>
    <x:row r="43" ht="34" customHeight="1">
      <x:c r="A43" s="32" t="str">
        <x:v>TPE-TR-001</x:v>
      </x:c>
      <x:c r="B43" s="32" t="str">
        <x:v>대만</x:v>
      </x:c>
      <x:c r="C43" s="32" t="str">
        <x:v>타이베이</x:v>
      </x:c>
      <x:c r="D43" s="32" t="str">
        <x:v>교통</x:v>
      </x:c>
      <x:c r="E43" s="32" t="str">
        <x:v>무제한권</x:v>
      </x:c>
      <x:c r="F43" s="21" t="str">
        <x:v>타이베이 MRT 1일권</x:v>
      </x:c>
      <x:c r="G43" s="21" t="str">
        <x:v>Taipei Metro 1-day Ticket</x:v>
      </x:c>
      <x:c r="H43" s="38" t="n">
        <x:v>150</x:v>
      </x:c>
      <x:c r="I43" s="38" t="n">
        <x:v>150</x:v>
      </x:c>
      <x:c r="J43" s="32" t="str">
        <x:v>TWD</x:v>
      </x:c>
      <x:c r="K43" s="32" t="str">
        <x:v>1인/영업종료까지</x:v>
      </x:c>
      <x:c r="L43" s="32" t="str">
        <x:v>고정형</x:v>
      </x:c>
      <x:c r="M43" s="32" t="str">
        <x:v>일반</x:v>
      </x:c>
      <x:c r="N43" s="32" t="str">
        <x:v>A 공식</x:v>
      </x:c>
      <x:c r="O43" s="32" t="str">
        <x:v>예</x:v>
      </x:c>
      <x:c r="P43" s="32" t="str">
        <x:v>확정 1차</x:v>
      </x:c>
      <x:c r="Q43" s="40" t="d">
        <x:v>2026-10-02T00:00:00.000Z</x:v>
      </x:c>
      <x:c r="R43" s="32" t="str">
        <x:v>2026</x:v>
      </x:c>
      <x:c r="S43" s="21" t="str">
        <x:v>Taipei Metro</x:v>
      </x:c>
      <x:c r="T43" s="42" t="str">
        <x:v>https://web.metro.taipei/QRCode/TaipeiMetroGuides/TaipeiMetroGuide_English.pdf</x:v>
      </x:c>
      <x:c r="U43" s="21" t="str">
        <x:v>활성화 당일 영업종료까지</x:v>
      </x:c>
    </x:row>
    <x:row r="44" ht="34" customHeight="1">
      <x:c r="A44" s="33" t="str">
        <x:v>TPE-TR-002</x:v>
      </x:c>
      <x:c r="B44" s="33" t="str">
        <x:v>대만</x:v>
      </x:c>
      <x:c r="C44" s="33" t="str">
        <x:v>타이베이</x:v>
      </x:c>
      <x:c r="D44" s="33" t="str">
        <x:v>교통</x:v>
      </x:c>
      <x:c r="E44" s="33" t="str">
        <x:v>무제한권</x:v>
      </x:c>
      <x:c r="F44" s="22" t="str">
        <x:v>타이베이 MRT 24시간권</x:v>
      </x:c>
      <x:c r="G44" s="22" t="str">
        <x:v>Taipei Metro 24-hour Ticket</x:v>
      </x:c>
      <x:c r="H44" s="39" t="n">
        <x:v>180</x:v>
      </x:c>
      <x:c r="I44" s="39" t="n">
        <x:v>180</x:v>
      </x:c>
      <x:c r="J44" s="33" t="str">
        <x:v>TWD</x:v>
      </x:c>
      <x:c r="K44" s="33" t="str">
        <x:v>1인/24시간</x:v>
      </x:c>
      <x:c r="L44" s="33" t="str">
        <x:v>고정형</x:v>
      </x:c>
      <x:c r="M44" s="33" t="str">
        <x:v>일반</x:v>
      </x:c>
      <x:c r="N44" s="33" t="str">
        <x:v>A 공식</x:v>
      </x:c>
      <x:c r="O44" s="33" t="str">
        <x:v>예</x:v>
      </x:c>
      <x:c r="P44" s="33" t="str">
        <x:v>확정 1차</x:v>
      </x:c>
      <x:c r="Q44" s="41" t="d">
        <x:v>2026-10-02T00:00:00.000Z</x:v>
      </x:c>
      <x:c r="R44" s="33" t="str">
        <x:v>2026</x:v>
      </x:c>
      <x:c r="S44" s="22" t="str">
        <x:v>Taipei Metro</x:v>
      </x:c>
      <x:c r="T44" s="43" t="str">
        <x:v>https://web.metro.taipei/QRCode/TaipeiMetroGuides/TaipeiMetroGuide_English.pdf</x:v>
      </x:c>
      <x:c r="U44" s="22" t="str">
        <x:v>활성화 시점부터 24시간</x:v>
      </x:c>
    </x:row>
    <x:row r="45" ht="34" customHeight="1">
      <x:c r="A45" s="32" t="str">
        <x:v>TPE-TR-003</x:v>
      </x:c>
      <x:c r="B45" s="32" t="str">
        <x:v>대만</x:v>
      </x:c>
      <x:c r="C45" s="32" t="str">
        <x:v>타이베이</x:v>
      </x:c>
      <x:c r="D45" s="32" t="str">
        <x:v>교통</x:v>
      </x:c>
      <x:c r="E45" s="32" t="str">
        <x:v>무제한권</x:v>
      </x:c>
      <x:c r="F45" s="21" t="str">
        <x:v>타이베이 MRT 48시간권</x:v>
      </x:c>
      <x:c r="G45" s="21" t="str">
        <x:v>Taipei Metro 48-hour Ticket</x:v>
      </x:c>
      <x:c r="H45" s="38" t="n">
        <x:v>280</x:v>
      </x:c>
      <x:c r="I45" s="38" t="n">
        <x:v>280</x:v>
      </x:c>
      <x:c r="J45" s="32" t="str">
        <x:v>TWD</x:v>
      </x:c>
      <x:c r="K45" s="32" t="str">
        <x:v>1인/48시간</x:v>
      </x:c>
      <x:c r="L45" s="32" t="str">
        <x:v>고정형</x:v>
      </x:c>
      <x:c r="M45" s="32" t="str">
        <x:v>일반</x:v>
      </x:c>
      <x:c r="N45" s="32" t="str">
        <x:v>A 공식</x:v>
      </x:c>
      <x:c r="O45" s="32" t="str">
        <x:v>예</x:v>
      </x:c>
      <x:c r="P45" s="32" t="str">
        <x:v>확정 1차</x:v>
      </x:c>
      <x:c r="Q45" s="40" t="d">
        <x:v>2026-10-02T00:00:00.000Z</x:v>
      </x:c>
      <x:c r="R45" s="32" t="str">
        <x:v>2026</x:v>
      </x:c>
      <x:c r="S45" s="21" t="str">
        <x:v>Taipei Metro</x:v>
      </x:c>
      <x:c r="T45" s="42" t="str">
        <x:v>https://web.metro.taipei/QRCode/TaipeiMetroGuides/TaipeiMetroGuide_English.pdf</x:v>
      </x:c>
      <x:c r="U45" s="21" t="str">
        <x:v>활성화 시점부터 48시간</x:v>
      </x:c>
    </x:row>
    <x:row r="46" ht="34" customHeight="1">
      <x:c r="A46" s="33" t="str">
        <x:v>TPE-AT-001</x:v>
      </x:c>
      <x:c r="B46" s="33" t="str">
        <x:v>대만</x:v>
      </x:c>
      <x:c r="C46" s="33" t="str">
        <x:v>타이베이</x:v>
      </x:c>
      <x:c r="D46" s="33" t="str">
        <x:v>관광</x:v>
      </x:c>
      <x:c r="E46" s="33" t="str">
        <x:v>전망대</x:v>
      </x:c>
      <x:c r="F46" s="22" t="str">
        <x:v>타이베이 101 일반권</x:v>
      </x:c>
      <x:c r="G46" s="22" t="str">
        <x:v>Taipei 101 Observatory General Ticket</x:v>
      </x:c>
      <x:c r="H46" s="39" t="n">
        <x:v>600</x:v>
      </x:c>
      <x:c r="I46" s="39" t="n">
        <x:v>600</x:v>
      </x:c>
      <x:c r="J46" s="33" t="str">
        <x:v>TWD</x:v>
      </x:c>
      <x:c r="K46" s="33" t="str">
        <x:v>성인 1인</x:v>
      </x:c>
      <x:c r="L46" s="33" t="str">
        <x:v>고정형</x:v>
      </x:c>
      <x:c r="M46" s="33" t="str">
        <x:v>방문객</x:v>
      </x:c>
      <x:c r="N46" s="33" t="str">
        <x:v>A 공식</x:v>
      </x:c>
      <x:c r="O46" s="33" t="str">
        <x:v>예</x:v>
      </x:c>
      <x:c r="P46" s="33" t="str">
        <x:v>확정 1차</x:v>
      </x:c>
      <x:c r="Q46" s="41" t="d">
        <x:v>2026-10-02T00:00:00.000Z</x:v>
      </x:c>
      <x:c r="R46" s="33" t="str">
        <x:v>2026</x:v>
      </x:c>
      <x:c r="S46" s="22" t="str">
        <x:v>Taipei 101</x:v>
      </x:c>
      <x:c r="T46" s="43" t="str">
        <x:v>https://www.taipei-101.com.tw/en/observatory/ticket</x:v>
      </x:c>
      <x:c r="U46" s="22" t="str">
        <x:v>88·89층; 101층 추가 380</x:v>
      </x:c>
    </x:row>
    <x:row r="47" ht="34" customHeight="1">
      <x:c r="A47" s="32" t="str">
        <x:v>TPE-AT-002</x:v>
      </x:c>
      <x:c r="B47" s="32" t="str">
        <x:v>대만</x:v>
      </x:c>
      <x:c r="C47" s="32" t="str">
        <x:v>타이베이</x:v>
      </x:c>
      <x:c r="D47" s="32" t="str">
        <x:v>관광</x:v>
      </x:c>
      <x:c r="E47" s="32" t="str">
        <x:v>박물관</x:v>
      </x:c>
      <x:c r="F47" s="21" t="str">
        <x:v>국립고궁박물원 일반권</x:v>
      </x:c>
      <x:c r="G47" s="21" t="str">
        <x:v>National Palace Museum General Admission</x:v>
      </x:c>
      <x:c r="H47" s="38" t="n">
        <x:v>350</x:v>
      </x:c>
      <x:c r="I47" s="38" t="n">
        <x:v>350</x:v>
      </x:c>
      <x:c r="J47" s="32" t="str">
        <x:v>TWD</x:v>
      </x:c>
      <x:c r="K47" s="32" t="str">
        <x:v>성인 1인</x:v>
      </x:c>
      <x:c r="L47" s="32" t="str">
        <x:v>고정형</x:v>
      </x:c>
      <x:c r="M47" s="32" t="str">
        <x:v>일반</x:v>
      </x:c>
      <x:c r="N47" s="32" t="str">
        <x:v>A 공식</x:v>
      </x:c>
      <x:c r="O47" s="32" t="str">
        <x:v>예</x:v>
      </x:c>
      <x:c r="P47" s="32" t="str">
        <x:v>확정 1차</x:v>
      </x:c>
      <x:c r="Q47" s="40" t="d">
        <x:v>2026-10-02T00:00:00.000Z</x:v>
      </x:c>
      <x:c r="R47" s="32" t="str">
        <x:v>2026</x:v>
      </x:c>
      <x:c r="S47" s="21" t="str">
        <x:v>National Palace Museum</x:v>
      </x:c>
      <x:c r="T47" s="42" t="str">
        <x:v>https://www.npm.gov.tw/Articles.aspx?l=2&amp;sno=02007004</x:v>
      </x:c>
      <x:c r="U47" s="21" t="str">
        <x:v>일반 관람권</x:v>
      </x:c>
    </x:row>
    <x:row r="48" ht="34" customHeight="1">
      <x:c r="A48" s="33" t="str">
        <x:v>TPE-FD-001</x:v>
      </x:c>
      <x:c r="B48" s="33" t="str">
        <x:v>대만</x:v>
      </x:c>
      <x:c r="C48" s="33" t="str">
        <x:v>타이베이</x:v>
      </x:c>
      <x:c r="D48" s="33" t="str">
        <x:v>외식</x:v>
      </x:c>
      <x:c r="E48" s="33" t="str">
        <x:v>중가 한끼</x:v>
      </x:c>
      <x:c r="F48" s="22" t="str">
        <x:v>딘타이펑 돼지고기 샤오롱바오 10개</x:v>
      </x:c>
      <x:c r="G48" s="22" t="str">
        <x:v>Din Tai Fung Pork XiaoLongBao 10 pcs</x:v>
      </x:c>
      <x:c r="H48" s="39" t="n">
        <x:v>290</x:v>
      </x:c>
      <x:c r="I48" s="39" t="n">
        <x:v>290</x:v>
      </x:c>
      <x:c r="J48" s="33" t="str">
        <x:v>TWD</x:v>
      </x:c>
      <x:c r="K48" s="33" t="str">
        <x:v>10개</x:v>
      </x:c>
      <x:c r="L48" s="33" t="str">
        <x:v>고정형</x:v>
      </x:c>
      <x:c r="M48" s="33" t="str">
        <x:v>일반</x:v>
      </x:c>
      <x:c r="N48" s="33" t="str">
        <x:v>D 보류</x:v>
      </x:c>
      <x:c r="O48" s="33" t="str">
        <x:v>아니오</x:v>
      </x:c>
      <x:c r="P48" s="33" t="str">
        <x:v>보류</x:v>
      </x:c>
      <x:c r="Q48" s="41" t="n">
        <x:v>46298</x:v>
      </x:c>
      <x:c r="R48" s="33" t="str">
        <x:v>2026</x:v>
      </x:c>
      <x:c r="S48" s="22" t="str">
        <x:v>Din Tai Fung Taiwan</x:v>
      </x:c>
      <x:c r="T48" s="43" t="str">
        <x:v>https://www.dintaifung.com.tw/food.php</x:v>
      </x:c>
      <x:c r="U48" s="22" t="str">
        <x:v>v0.4 보류: 기존 290–290 TWD는 공식 가격으로 확인되지 않아 계산에서 제외. 공식 메뉴는 상품 설명만 제공하고 샤오롱바오 가격을 공개하지 않음.</x:v>
      </x:c>
    </x:row>
    <x:row r="49" ht="34" customHeight="1">
      <x:c r="A49" s="32" t="str">
        <x:v>TPE-FD-002</x:v>
      </x:c>
      <x:c r="B49" s="32" t="str">
        <x:v>대만</x:v>
      </x:c>
      <x:c r="C49" s="32" t="str">
        <x:v>타이베이</x:v>
      </x:c>
      <x:c r="D49" s="32" t="str">
        <x:v>외식</x:v>
      </x:c>
      <x:c r="E49" s="32" t="str">
        <x:v>중가 한끼</x:v>
      </x:c>
      <x:c r="F49" s="21" t="str">
        <x:v>고기 없는 우육면 국물면</x:v>
      </x:c>
      <x:c r="G49" s="21" t="str">
        <x:v>Beef Noodle Soup without Meat</x:v>
      </x:c>
      <x:c r="H49" s="38" t="n">
        <x:v>180</x:v>
      </x:c>
      <x:c r="I49" s="38" t="n">
        <x:v>180</x:v>
      </x:c>
      <x:c r="J49" s="32" t="str">
        <x:v>TWD</x:v>
      </x:c>
      <x:c r="K49" s="32" t="str">
        <x:v>1그릇</x:v>
      </x:c>
      <x:c r="L49" s="32" t="str">
        <x:v>고정형</x:v>
      </x:c>
      <x:c r="M49" s="32" t="str">
        <x:v>일반</x:v>
      </x:c>
      <x:c r="N49" s="32" t="str">
        <x:v>D 보류</x:v>
      </x:c>
      <x:c r="O49" s="32" t="str">
        <x:v>아니오</x:v>
      </x:c>
      <x:c r="P49" s="32" t="str">
        <x:v>보류</x:v>
      </x:c>
      <x:c r="Q49" s="40" t="n">
        <x:v>46298</x:v>
      </x:c>
      <x:c r="R49" s="32" t="str">
        <x:v>2026</x:v>
      </x:c>
      <x:c r="S49" s="21" t="str">
        <x:v>Din Tai Fung Taiwan</x:v>
      </x:c>
      <x:c r="T49" s="42" t="str">
        <x:v>https://www.dintaifung.com.tw/food.php</x:v>
      </x:c>
      <x:c r="U49" s="21" t="str">
        <x:v>v0.4 보류: 기존 180–180 TWD는 공식 가격으로 확인되지 않아 계산에서 제외. 공식 메뉴는 상품 설명만 제공하고 우육면 가격을 공개하지 않음.</x:v>
      </x:c>
    </x:row>
    <x:row r="50" ht="34" customHeight="1">
      <x:c r="A50" s="33" t="str">
        <x:v>TPE-SV-001</x:v>
      </x:c>
      <x:c r="B50" s="33" t="str">
        <x:v>대만</x:v>
      </x:c>
      <x:c r="C50" s="33" t="str">
        <x:v>타이베이</x:v>
      </x:c>
      <x:c r="D50" s="33" t="str">
        <x:v>기념품</x:v>
      </x:c>
      <x:c r="E50" s="33" t="str">
        <x:v>식품</x:v>
      </x:c>
      <x:c r="F50" s="22" t="str">
        <x:v>치아더 펑리수 6개</x:v>
      </x:c>
      <x:c r="G50" s="22" t="str">
        <x:v>Chia Te Pineapple Pastry 6 pcs</x:v>
      </x:c>
      <x:c r="H50" s="39" t="n">
        <x:v>252</x:v>
      </x:c>
      <x:c r="I50" s="39" t="n">
        <x:v>252</x:v>
      </x:c>
      <x:c r="J50" s="33" t="str">
        <x:v>TWD</x:v>
      </x:c>
      <x:c r="K50" s="33" t="str">
        <x:v>1상자</x:v>
      </x:c>
      <x:c r="L50" s="33" t="str">
        <x:v>고정형</x:v>
      </x:c>
      <x:c r="M50" s="33" t="str">
        <x:v>일반</x:v>
      </x:c>
      <x:c r="N50" s="33" t="str">
        <x:v>A 공식</x:v>
      </x:c>
      <x:c r="O50" s="33" t="str">
        <x:v>예</x:v>
      </x:c>
      <x:c r="P50" s="33" t="str">
        <x:v>확정 4차</x:v>
      </x:c>
      <x:c r="Q50" s="41" t="n">
        <x:v>46298</x:v>
      </x:c>
      <x:c r="R50" s="33" t="str">
        <x:v>2026</x:v>
      </x:c>
      <x:c r="S50" s="22" t="str">
        <x:v>Chia Te Bakery</x:v>
      </x:c>
      <x:c r="T50" s="43" t="str">
        <x:v>https://chiate88.com.tw/Product/%E6%98%A5%E7%AF%80%E5%8F%AF%E9%A0%90%E8%A8%82%E7%9A%84%E5%95%86%E5%93%81/%E9%B3%B3%E9%BB%83%E9%85%A5</x:v>
      </x:c>
      <x:c r="U50" s="22" t="str">
        <x:v>v0.4 재확인: 공식몰 펑황수 6입 NT$252. 기존 NT$228에서 공식 판매가로 수정.</x:v>
      </x:c>
    </x:row>
    <x:row r="51" ht="34" customHeight="1">
      <x:c r="A51" s="32" t="str">
        <x:v>TPE-SV-002</x:v>
      </x:c>
      <x:c r="B51" s="32" t="str">
        <x:v>대만</x:v>
      </x:c>
      <x:c r="C51" s="32" t="str">
        <x:v>타이베이</x:v>
      </x:c>
      <x:c r="D51" s="32" t="str">
        <x:v>기념품</x:v>
      </x:c>
      <x:c r="E51" s="32" t="str">
        <x:v>식품</x:v>
      </x:c>
      <x:c r="F51" s="21" t="str">
        <x:v>치아더 펑리수 12개</x:v>
      </x:c>
      <x:c r="G51" s="21" t="str">
        <x:v>Chia Te Pineapple Pastry 12 pcs</x:v>
      </x:c>
      <x:c r="H51" s="38" t="n">
        <x:v>504</x:v>
      </x:c>
      <x:c r="I51" s="38" t="n">
        <x:v>504</x:v>
      </x:c>
      <x:c r="J51" s="32" t="str">
        <x:v>TWD</x:v>
      </x:c>
      <x:c r="K51" s="32" t="str">
        <x:v>1상자</x:v>
      </x:c>
      <x:c r="L51" s="32" t="str">
        <x:v>고정형</x:v>
      </x:c>
      <x:c r="M51" s="32" t="str">
        <x:v>일반</x:v>
      </x:c>
      <x:c r="N51" s="32" t="str">
        <x:v>A 공식</x:v>
      </x:c>
      <x:c r="O51" s="32" t="str">
        <x:v>예</x:v>
      </x:c>
      <x:c r="P51" s="32" t="str">
        <x:v>확정 4차</x:v>
      </x:c>
      <x:c r="Q51" s="40" t="n">
        <x:v>46298</x:v>
      </x:c>
      <x:c r="R51" s="32" t="str">
        <x:v>2026</x:v>
      </x:c>
      <x:c r="S51" s="21" t="str">
        <x:v>Chia Te Bakery</x:v>
      </x:c>
      <x:c r="T51" s="42" t="str">
        <x:v>https://chiate88.com.tw/Product/%E6%98%A5%E7%AF%80%E5%8F%AF%E9%A0%90%E8%A8%82%E7%9A%84%E5%95%86%E5%93%81/%E9%B3%B3%E9%BB%83%E9%85%A5</x:v>
      </x:c>
      <x:c r="U51" s="21" t="str">
        <x:v>v0.4 재확인: 공식몰 펑황수 12입 NT$504. 기존 NT$456에서 공식 판매가로 수정.</x:v>
      </x:c>
    </x:row>
    <x:row r="52" ht="34" customHeight="1">
      <x:c r="A52" s="33" t="str">
        <x:v>SIN-TR-001</x:v>
      </x:c>
      <x:c r="B52" s="33" t="str">
        <x:v>싱가포르</x:v>
      </x:c>
      <x:c r="C52" s="33" t="str">
        <x:v>싱가포르</x:v>
      </x:c>
      <x:c r="D52" s="33" t="str">
        <x:v>교통</x:v>
      </x:c>
      <x:c r="E52" s="33" t="str">
        <x:v>무제한권</x:v>
      </x:c>
      <x:c r="F52" s="22" t="str">
        <x:v>싱가포르 투어리스트 패스</x:v>
      </x:c>
      <x:c r="G52" s="22" t="str">
        <x:v>Singapore Tourist Pass</x:v>
      </x:c>
      <x:c r="H52" s="39" t="n">
        <x:v>17</x:v>
      </x:c>
      <x:c r="I52" s="39" t="n">
        <x:v>17</x:v>
      </x:c>
      <x:c r="J52" s="33" t="str">
        <x:v>SGD</x:v>
      </x:c>
      <x:c r="K52" s="33" t="str">
        <x:v>1일 시작가</x:v>
      </x:c>
      <x:c r="L52" s="33" t="str">
        <x:v>기간형</x:v>
      </x:c>
      <x:c r="M52" s="33" t="str">
        <x:v>방문객</x:v>
      </x:c>
      <x:c r="N52" s="33" t="str">
        <x:v>A 공식</x:v>
      </x:c>
      <x:c r="O52" s="33" t="str">
        <x:v>예</x:v>
      </x:c>
      <x:c r="P52" s="33" t="str">
        <x:v>확정 1차</x:v>
      </x:c>
      <x:c r="Q52" s="41" t="n">
        <x:v>46298</x:v>
      </x:c>
      <x:c r="R52" s="33" t="str">
        <x:v>2026</x:v>
      </x:c>
      <x:c r="S52" s="22" t="str">
        <x:v>SimplyGo</x:v>
      </x:c>
      <x:c r="T52" s="43" t="str">
        <x:v>https://simplygo.com.sg/locations/singapore-tourist-pass-sales-channels/</x:v>
      </x:c>
      <x:c r="U52" s="22" t="str">
        <x:v>기본 버스·열차 무제한, S$17/day부터</x:v>
      </x:c>
    </x:row>
    <x:row r="53" ht="34" customHeight="1">
      <x:c r="A53" s="32" t="str">
        <x:v>SIN-AT-001</x:v>
      </x:c>
      <x:c r="B53" s="32" t="str">
        <x:v>싱가포르</x:v>
      </x:c>
      <x:c r="C53" s="32" t="str">
        <x:v>싱가포르</x:v>
      </x:c>
      <x:c r="D53" s="32" t="str">
        <x:v>관광</x:v>
      </x:c>
      <x:c r="E53" s="32" t="str">
        <x:v>가든</x:v>
      </x:c>
      <x:c r="F53" s="21" t="str">
        <x:v>플라워돔+클라우드 포레스트</x:v>
      </x:c>
      <x:c r="G53" s="21" t="str">
        <x:v>Flower Dome + Cloud Forest</x:v>
      </x:c>
      <x:c r="H53" s="38" t="n">
        <x:v>46</x:v>
      </x:c>
      <x:c r="I53" s="38" t="n">
        <x:v>46</x:v>
      </x:c>
      <x:c r="J53" s="32" t="str">
        <x:v>SGD</x:v>
      </x:c>
      <x:c r="K53" s="32" t="str">
        <x:v>비거주 성인 1인</x:v>
      </x:c>
      <x:c r="L53" s="32" t="str">
        <x:v>구성형</x:v>
      </x:c>
      <x:c r="M53" s="32" t="str">
        <x:v>비거주자</x:v>
      </x:c>
      <x:c r="N53" s="32" t="str">
        <x:v>A 공식</x:v>
      </x:c>
      <x:c r="O53" s="32" t="str">
        <x:v>예</x:v>
      </x:c>
      <x:c r="P53" s="32" t="str">
        <x:v>확정 1차</x:v>
      </x:c>
      <x:c r="Q53" s="40" t="d">
        <x:v>2026-10-02T00:00:00.000Z</x:v>
      </x:c>
      <x:c r="R53" s="32" t="str">
        <x:v>2026</x:v>
      </x:c>
      <x:c r="S53" s="21" t="str">
        <x:v>Gardens by the Bay</x:v>
      </x:c>
      <x:c r="T53" s="42" t="str">
        <x:v>https://www.gardensbythebay.com.sg/en/things-to-do/attractions/cloud-forest.html</x:v>
      </x:c>
      <x:c r="U53" s="21" t="str">
        <x:v>비거주자 성인</x:v>
      </x:c>
    </x:row>
    <x:row r="54" ht="34" customHeight="1">
      <x:c r="A54" s="33" t="str">
        <x:v>SIN-AT-002</x:v>
      </x:c>
      <x:c r="B54" s="33" t="str">
        <x:v>싱가포르</x:v>
      </x:c>
      <x:c r="C54" s="33" t="str">
        <x:v>싱가포르</x:v>
      </x:c>
      <x:c r="D54" s="33" t="str">
        <x:v>관광</x:v>
      </x:c>
      <x:c r="E54" s="33" t="str">
        <x:v>가든</x:v>
      </x:c>
      <x:c r="F54" s="22" t="str">
        <x:v>플라워돔+클라우드 포레스트</x:v>
      </x:c>
      <x:c r="G54" s="22" t="str">
        <x:v>Flower Dome + Cloud Forest</x:v>
      </x:c>
      <x:c r="H54" s="39" t="n">
        <x:v>32</x:v>
      </x:c>
      <x:c r="I54" s="39" t="n">
        <x:v>32</x:v>
      </x:c>
      <x:c r="J54" s="33" t="str">
        <x:v>SGD</x:v>
      </x:c>
      <x:c r="K54" s="33" t="str">
        <x:v>비거주 아동 1인</x:v>
      </x:c>
      <x:c r="L54" s="33" t="str">
        <x:v>구성형</x:v>
      </x:c>
      <x:c r="M54" s="33" t="str">
        <x:v>아동 3-12</x:v>
      </x:c>
      <x:c r="N54" s="33" t="str">
        <x:v>A 공식</x:v>
      </x:c>
      <x:c r="O54" s="33" t="str">
        <x:v>예</x:v>
      </x:c>
      <x:c r="P54" s="33" t="str">
        <x:v>확정 1차</x:v>
      </x:c>
      <x:c r="Q54" s="41" t="d">
        <x:v>2026-10-02T00:00:00.000Z</x:v>
      </x:c>
      <x:c r="R54" s="33" t="str">
        <x:v>2026</x:v>
      </x:c>
      <x:c r="S54" s="22" t="str">
        <x:v>Gardens by the Bay</x:v>
      </x:c>
      <x:c r="T54" s="43" t="str">
        <x:v>https://www.gardensbythebay.com.sg/en/things-to-do/attractions/cloud-forest.html</x:v>
      </x:c>
      <x:c r="U54" s="22" t="str">
        <x:v>비거주자 아동</x:v>
      </x:c>
    </x:row>
    <x:row r="55" ht="34" customHeight="1">
      <x:c r="A55" s="32" t="str">
        <x:v>SIN-FD-001</x:v>
      </x:c>
      <x:c r="B55" s="32" t="str">
        <x:v>싱가포르</x:v>
      </x:c>
      <x:c r="C55" s="32" t="str">
        <x:v>싱가포르</x:v>
      </x:c>
      <x:c r="D55" s="32" t="str">
        <x:v>외식</x:v>
      </x:c>
      <x:c r="E55" s="32" t="str">
        <x:v>아침/간식</x:v>
      </x:c>
      <x:c r="F55" s="21" t="str">
        <x:v>전통 카야토스트</x:v>
      </x:c>
      <x:c r="G55" s="21" t="str">
        <x:v>Traditional Kaya Toast</x:v>
      </x:c>
      <x:c r="H55" s="38" t="n">
        <x:v>6</x:v>
      </x:c>
      <x:c r="I55" s="38" t="n">
        <x:v>6</x:v>
      </x:c>
      <x:c r="J55" s="32" t="str">
        <x:v>SGD</x:v>
      </x:c>
      <x:c r="K55" s="32" t="str">
        <x:v>1메뉴</x:v>
      </x:c>
      <x:c r="L55" s="32" t="str">
        <x:v>매장형</x:v>
      </x:c>
      <x:c r="M55" s="32" t="str">
        <x:v>일반</x:v>
      </x:c>
      <x:c r="N55" s="32" t="str">
        <x:v>D 보류</x:v>
      </x:c>
      <x:c r="O55" s="32" t="str">
        <x:v>아니오</x:v>
      </x:c>
      <x:c r="P55" s="32" t="str">
        <x:v>보류</x:v>
      </x:c>
      <x:c r="Q55" s="40" t="n">
        <x:v>46298</x:v>
      </x:c>
      <x:c r="R55" s="32" t="str">
        <x:v>2026</x:v>
      </x:c>
      <x:c r="S55" s="21" t="str">
        <x:v>Toast Box</x:v>
      </x:c>
      <x:c r="T55" s="42" t="str">
        <x:v>https://www.toastbox.com.sg/signatures/</x:v>
      </x:c>
      <x:c r="U55" s="21" t="str">
        <x:v>v0.4 보류: 기존 6–6 SGD는 공식 가격으로 확인되지 않아 계산에서 제외. 공식 메뉴에 단품 가격이 없음. 공식 세트 바우처는 별도 상품이라 단품 가격으로 쓰지 않음.</x:v>
      </x:c>
    </x:row>
    <x:row r="56" ht="34" customHeight="1">
      <x:c r="A56" s="33" t="str">
        <x:v>SIN-FD-002</x:v>
      </x:c>
      <x:c r="B56" s="33" t="str">
        <x:v>싱가포르</x:v>
      </x:c>
      <x:c r="C56" s="33" t="str">
        <x:v>싱가포르</x:v>
      </x:c>
      <x:c r="D56" s="33" t="str">
        <x:v>외식</x:v>
      </x:c>
      <x:c r="E56" s="33" t="str">
        <x:v>저가 한끼</x:v>
      </x:c>
      <x:c r="F56" s="22" t="str">
        <x:v>락사</x:v>
      </x:c>
      <x:c r="G56" s="22" t="str">
        <x:v>Laksa</x:v>
      </x:c>
      <x:c r="H56" s="39" t="n">
        <x:v>10</x:v>
      </x:c>
      <x:c r="I56" s="39" t="n">
        <x:v>10</x:v>
      </x:c>
      <x:c r="J56" s="33" t="str">
        <x:v>SGD</x:v>
      </x:c>
      <x:c r="K56" s="33" t="str">
        <x:v>1그릇</x:v>
      </x:c>
      <x:c r="L56" s="33" t="str">
        <x:v>매장형</x:v>
      </x:c>
      <x:c r="M56" s="33" t="str">
        <x:v>일반</x:v>
      </x:c>
      <x:c r="N56" s="33" t="str">
        <x:v>D 보류</x:v>
      </x:c>
      <x:c r="O56" s="33" t="str">
        <x:v>아니오</x:v>
      </x:c>
      <x:c r="P56" s="33" t="str">
        <x:v>보류</x:v>
      </x:c>
      <x:c r="Q56" s="41" t="n">
        <x:v>46298</x:v>
      </x:c>
      <x:c r="R56" s="33" t="str">
        <x:v>2026</x:v>
      </x:c>
      <x:c r="S56" s="22" t="str">
        <x:v>Toast Box</x:v>
      </x:c>
      <x:c r="T56" s="43" t="str">
        <x:v>https://www.toastbox.com.sg/signatures/</x:v>
      </x:c>
      <x:c r="U56" s="22" t="str">
        <x:v>v0.4 보류: 기존 10–10 SGD는 공식 가격으로 확인되지 않아 계산에서 제외. 공식 메뉴에 단품 가격이 없음. 공식 세트 바우처는 별도 상품이라 단품 가격으로 쓰지 않음.</x:v>
      </x:c>
    </x:row>
    <x:row r="57" ht="34" customHeight="1">
      <x:c r="A57" s="32" t="str">
        <x:v>SIN-FD-003</x:v>
      </x:c>
      <x:c r="B57" s="32" t="str">
        <x:v>싱가포르</x:v>
      </x:c>
      <x:c r="C57" s="32" t="str">
        <x:v>싱가포르</x:v>
      </x:c>
      <x:c r="D57" s="32" t="str">
        <x:v>외식</x:v>
      </x:c>
      <x:c r="E57" s="32" t="str">
        <x:v>저가 한끼</x:v>
      </x:c>
      <x:c r="F57" s="21" t="str">
        <x:v>커리치킨 라이스</x:v>
      </x:c>
      <x:c r="G57" s="21" t="str">
        <x:v>Curry Chicken with Rice</x:v>
      </x:c>
      <x:c r="H57" s="38" t="n">
        <x:v>10.3</x:v>
      </x:c>
      <x:c r="I57" s="38" t="n">
        <x:v>10.3</x:v>
      </x:c>
      <x:c r="J57" s="32" t="str">
        <x:v>SGD</x:v>
      </x:c>
      <x:c r="K57" s="32" t="str">
        <x:v>1그릇</x:v>
      </x:c>
      <x:c r="L57" s="32" t="str">
        <x:v>매장형</x:v>
      </x:c>
      <x:c r="M57" s="32" t="str">
        <x:v>일반</x:v>
      </x:c>
      <x:c r="N57" s="32" t="str">
        <x:v>D 보류</x:v>
      </x:c>
      <x:c r="O57" s="32" t="str">
        <x:v>아니오</x:v>
      </x:c>
      <x:c r="P57" s="32" t="str">
        <x:v>보류</x:v>
      </x:c>
      <x:c r="Q57" s="40" t="n">
        <x:v>46298</x:v>
      </x:c>
      <x:c r="R57" s="32" t="str">
        <x:v>2026</x:v>
      </x:c>
      <x:c r="S57" s="21" t="str">
        <x:v>Toast Box</x:v>
      </x:c>
      <x:c r="T57" s="42" t="str">
        <x:v>https://www.toastbox.com.sg/signatures/</x:v>
      </x:c>
      <x:c r="U57" s="21" t="str">
        <x:v>v0.4 보류: 기존 10.3–10.3 SGD는 공식 가격으로 확인되지 않아 계산에서 제외. 공식 메뉴에 단품 가격이 없음. 공식 세트 바우처는 별도 상품이라 단품 가격으로 쓰지 않음.</x:v>
      </x:c>
    </x:row>
    <x:row r="58" ht="34" customHeight="1">
      <x:c r="A58" s="33" t="str">
        <x:v>SIN-FD-004</x:v>
      </x:c>
      <x:c r="B58" s="33" t="str">
        <x:v>싱가포르</x:v>
      </x:c>
      <x:c r="C58" s="33" t="str">
        <x:v>싱가포르</x:v>
      </x:c>
      <x:c r="D58" s="33" t="str">
        <x:v>외식</x:v>
      </x:c>
      <x:c r="E58" s="33" t="str">
        <x:v>음료</x:v>
      </x:c>
      <x:c r="F58" s="22" t="str">
        <x:v>코피 O</x:v>
      </x:c>
      <x:c r="G58" s="22" t="str">
        <x:v>Kopi O</x:v>
      </x:c>
      <x:c r="H58" s="39" t="n">
        <x:v>2.2</x:v>
      </x:c>
      <x:c r="I58" s="39" t="n">
        <x:v>2.2</x:v>
      </x:c>
      <x:c r="J58" s="33" t="str">
        <x:v>SGD</x:v>
      </x:c>
      <x:c r="K58" s="33" t="str">
        <x:v>1잔</x:v>
      </x:c>
      <x:c r="L58" s="33" t="str">
        <x:v>매장형</x:v>
      </x:c>
      <x:c r="M58" s="33" t="str">
        <x:v>일반</x:v>
      </x:c>
      <x:c r="N58" s="33" t="str">
        <x:v>D 보류</x:v>
      </x:c>
      <x:c r="O58" s="33" t="str">
        <x:v>아니오</x:v>
      </x:c>
      <x:c r="P58" s="33" t="str">
        <x:v>보류</x:v>
      </x:c>
      <x:c r="Q58" s="41" t="d">
        <x:v>2026-10-02T00:00:00.000Z</x:v>
      </x:c>
      <x:c r="R58" s="33" t="str">
        <x:v>2026</x:v>
      </x:c>
      <x:c r="S58" s="22" t="str">
        <x:v>Toast Box</x:v>
      </x:c>
      <x:c r="T58" s="43" t="str">
        <x:v>https://www.toastbox.com.sg/signatures/</x:v>
      </x:c>
      <x:c r="U58" s="22" t="str">
        <x:v>v0.4 보류: 기존 2.2–2.2 SGD는 공식 가격으로 확인되지 않아 계산에서 제외. 공식 메뉴에 단품 가격이 없음. 바우처 페이지의 음료 가격은 메뉴 판매가와 구분해 계산 대상에서 제외.</x:v>
      </x:c>
    </x:row>
    <x:row r="59" ht="34" customHeight="1">
      <x:c r="A59" s="32" t="str">
        <x:v>SIN-SV-001</x:v>
      </x:c>
      <x:c r="B59" s="32" t="str">
        <x:v>싱가포르</x:v>
      </x:c>
      <x:c r="C59" s="32" t="str">
        <x:v>싱가포르</x:v>
      </x:c>
      <x:c r="D59" s="32" t="str">
        <x:v>기념품</x:v>
      </x:c>
      <x:c r="E59" s="32" t="str">
        <x:v>식품</x:v>
      </x:c>
      <x:c r="F59" s="21" t="str">
        <x:v>판단 카야 케이크 레귤러</x:v>
      </x:c>
      <x:c r="G59" s="21" t="str">
        <x:v>Pandan Kaya Cake Regular</x:v>
      </x:c>
      <x:c r="H59" s="38" t="n">
        <x:v>31.8</x:v>
      </x:c>
      <x:c r="I59" s="38" t="n">
        <x:v>31.8</x:v>
      </x:c>
      <x:c r="J59" s="32" t="str">
        <x:v>SGD</x:v>
      </x:c>
      <x:c r="K59" s="32" t="str">
        <x:v>1개</x:v>
      </x:c>
      <x:c r="L59" s="32" t="str">
        <x:v>매장형</x:v>
      </x:c>
      <x:c r="M59" s="32" t="str">
        <x:v>일반</x:v>
      </x:c>
      <x:c r="N59" s="32" t="str">
        <x:v>D 보류</x:v>
      </x:c>
      <x:c r="O59" s="32" t="str">
        <x:v>아니오</x:v>
      </x:c>
      <x:c r="P59" s="32" t="str">
        <x:v>보류</x:v>
      </x:c>
      <x:c r="Q59" s="40" t="n">
        <x:v>46298</x:v>
      </x:c>
      <x:c r="R59" s="32" t="str">
        <x:v>2026</x:v>
      </x:c>
      <x:c r="S59" s="21" t="str">
        <x:v>Bengawan Solo</x:v>
      </x:c>
      <x:c r="T59" s="42" t="str">
        <x:v>https://bengawansolo.sg/signatures</x:v>
      </x:c>
      <x:c r="U59" s="21" t="str">
        <x:v>v0.4 보류: 기존 31.8–31.8 SGD는 공식 가격으로 확인되지 않아 계산에서 제외. 기존 Pandan Kaya Cake 가격은 공식몰에서 확인되지 않음. 가까운 공식 상품 Pandan Chiffon은 SIN-SV-003에 기록.</x:v>
      </x:c>
    </x:row>
    <x:row r="60" ht="34" customHeight="1">
      <x:c r="A60" s="33" t="str">
        <x:v>PAR-TR-001</x:v>
      </x:c>
      <x:c r="B60" s="33" t="str">
        <x:v>프랑스</x:v>
      </x:c>
      <x:c r="C60" s="33" t="str">
        <x:v>파리</x:v>
      </x:c>
      <x:c r="D60" s="33" t="str">
        <x:v>교통</x:v>
      </x:c>
      <x:c r="E60" s="33" t="str">
        <x:v>무제한권</x:v>
      </x:c>
      <x:c r="F60" s="22" t="str">
        <x:v>나비고 1일권 전 구역</x:v>
      </x:c>
      <x:c r="G60" s="22" t="str">
        <x:v>Navigo Day All Zones</x:v>
      </x:c>
      <x:c r="H60" s="39" t="n">
        <x:v>12.3</x:v>
      </x:c>
      <x:c r="I60" s="39" t="n">
        <x:v>12.3</x:v>
      </x:c>
      <x:c r="J60" s="33" t="str">
        <x:v>EUR</x:v>
      </x:c>
      <x:c r="K60" s="33" t="str">
        <x:v>1일</x:v>
      </x:c>
      <x:c r="L60" s="33" t="str">
        <x:v>고정형</x:v>
      </x:c>
      <x:c r="M60" s="33" t="str">
        <x:v>일반</x:v>
      </x:c>
      <x:c r="N60" s="33" t="str">
        <x:v>A 공식</x:v>
      </x:c>
      <x:c r="O60" s="33" t="str">
        <x:v>예</x:v>
      </x:c>
      <x:c r="P60" s="33" t="str">
        <x:v>확정 1차</x:v>
      </x:c>
      <x:c r="Q60" s="41" t="n">
        <x:v>46298</x:v>
      </x:c>
      <x:c r="R60" s="33" t="str">
        <x:v>2026</x:v>
      </x:c>
      <x:c r="S60" s="22" t="str">
        <x:v>Île-de-France Mobilités</x:v>
      </x:c>
      <x:c r="T60" s="43" t="str">
        <x:v>https://www.iledefrance-mobilites.fr/en/titres-et-tarifs/detail/forfait-navigo-jour</x:v>
      </x:c>
      <x:c r="U60" s="22" t="str">
        <x:v>공항 제외</x:v>
      </x:c>
    </x:row>
    <x:row r="61" ht="34" customHeight="1">
      <x:c r="A61" s="32" t="str">
        <x:v>PAR-AT-001</x:v>
      </x:c>
      <x:c r="B61" s="32" t="str">
        <x:v>프랑스</x:v>
      </x:c>
      <x:c r="C61" s="32" t="str">
        <x:v>파리</x:v>
      </x:c>
      <x:c r="D61" s="32" t="str">
        <x:v>관광</x:v>
      </x:c>
      <x:c r="E61" s="32" t="str">
        <x:v>랜드마크</x:v>
      </x:c>
      <x:c r="F61" s="21" t="str">
        <x:v>에펠탑 2층 계단</x:v>
      </x:c>
      <x:c r="G61" s="21" t="str">
        <x:v>Eiffel Tower 2nd Floor by Stairs</x:v>
      </x:c>
      <x:c r="H61" s="38" t="n">
        <x:v>14.8</x:v>
      </x:c>
      <x:c r="I61" s="38" t="n">
        <x:v>14.8</x:v>
      </x:c>
      <x:c r="J61" s="32" t="str">
        <x:v>EUR</x:v>
      </x:c>
      <x:c r="K61" s="32" t="str">
        <x:v>성인 1인</x:v>
      </x:c>
      <x:c r="L61" s="32" t="str">
        <x:v>고정형</x:v>
      </x:c>
      <x:c r="M61" s="32" t="str">
        <x:v>성인</x:v>
      </x:c>
      <x:c r="N61" s="32" t="str">
        <x:v>A 공식</x:v>
      </x:c>
      <x:c r="O61" s="32" t="str">
        <x:v>예</x:v>
      </x:c>
      <x:c r="P61" s="32" t="str">
        <x:v>확정 1차</x:v>
      </x:c>
      <x:c r="Q61" s="40" t="d">
        <x:v>2026-10-02T00:00:00.000Z</x:v>
      </x:c>
      <x:c r="R61" s="32" t="str">
        <x:v>2026</x:v>
      </x:c>
      <x:c r="S61" s="21" t="str">
        <x:v>Eiffel Tower</x:v>
      </x:c>
      <x:c r="T61" s="42" t="str">
        <x:v>https://www.toureiffel.paris/en/rates-opening-times</x:v>
      </x:c>
      <x:c r="U61" s="21" t="str">
        <x:v>연령별 요금 분리 필요</x:v>
      </x:c>
    </x:row>
    <x:row r="62" ht="34" customHeight="1">
      <x:c r="A62" s="33" t="str">
        <x:v>PAR-AT-002</x:v>
      </x:c>
      <x:c r="B62" s="33" t="str">
        <x:v>프랑스</x:v>
      </x:c>
      <x:c r="C62" s="33" t="str">
        <x:v>파리</x:v>
      </x:c>
      <x:c r="D62" s="33" t="str">
        <x:v>관광</x:v>
      </x:c>
      <x:c r="E62" s="33" t="str">
        <x:v>랜드마크</x:v>
      </x:c>
      <x:c r="F62" s="22" t="str">
        <x:v>에펠탑 2층 엘리베이터</x:v>
      </x:c>
      <x:c r="G62" s="22" t="str">
        <x:v>Eiffel Tower 2nd Floor by Elevator</x:v>
      </x:c>
      <x:c r="H62" s="39" t="n">
        <x:v>23.5</x:v>
      </x:c>
      <x:c r="I62" s="39" t="n">
        <x:v>23.5</x:v>
      </x:c>
      <x:c r="J62" s="33" t="str">
        <x:v>EUR</x:v>
      </x:c>
      <x:c r="K62" s="33" t="str">
        <x:v>성인 1인</x:v>
      </x:c>
      <x:c r="L62" s="33" t="str">
        <x:v>고정형</x:v>
      </x:c>
      <x:c r="M62" s="33" t="str">
        <x:v>성인</x:v>
      </x:c>
      <x:c r="N62" s="33" t="str">
        <x:v>A 공식</x:v>
      </x:c>
      <x:c r="O62" s="33" t="str">
        <x:v>예</x:v>
      </x:c>
      <x:c r="P62" s="33" t="str">
        <x:v>확정 1차</x:v>
      </x:c>
      <x:c r="Q62" s="41" t="d">
        <x:v>2026-10-02T00:00:00.000Z</x:v>
      </x:c>
      <x:c r="R62" s="33" t="str">
        <x:v>2026</x:v>
      </x:c>
      <x:c r="S62" s="22" t="str">
        <x:v>Eiffel Tower</x:v>
      </x:c>
      <x:c r="T62" s="43" t="str">
        <x:v>https://www.toureiffel.paris/en/rates-opening-times</x:v>
      </x:c>
      <x:c r="U62" s="22" t="str">
        <x:v>성인 요금</x:v>
      </x:c>
    </x:row>
    <x:row r="63" ht="34" customHeight="1">
      <x:c r="A63" s="32" t="str">
        <x:v>PAR-AT-003</x:v>
      </x:c>
      <x:c r="B63" s="32" t="str">
        <x:v>프랑스</x:v>
      </x:c>
      <x:c r="C63" s="32" t="str">
        <x:v>파리</x:v>
      </x:c>
      <x:c r="D63" s="32" t="str">
        <x:v>관광</x:v>
      </x:c>
      <x:c r="E63" s="32" t="str">
        <x:v>랜드마크</x:v>
      </x:c>
      <x:c r="F63" s="21" t="str">
        <x:v>에펠탑 정상 엘리베이터</x:v>
      </x:c>
      <x:c r="G63" s="21" t="str">
        <x:v>Eiffel Tower Summit by Elevator</x:v>
      </x:c>
      <x:c r="H63" s="38" t="n">
        <x:v>36.7</x:v>
      </x:c>
      <x:c r="I63" s="38" t="n">
        <x:v>36.7</x:v>
      </x:c>
      <x:c r="J63" s="32" t="str">
        <x:v>EUR</x:v>
      </x:c>
      <x:c r="K63" s="32" t="str">
        <x:v>성인 1인</x:v>
      </x:c>
      <x:c r="L63" s="32" t="str">
        <x:v>고정형</x:v>
      </x:c>
      <x:c r="M63" s="32" t="str">
        <x:v>성인</x:v>
      </x:c>
      <x:c r="N63" s="32" t="str">
        <x:v>A 공식</x:v>
      </x:c>
      <x:c r="O63" s="32" t="str">
        <x:v>예</x:v>
      </x:c>
      <x:c r="P63" s="32" t="str">
        <x:v>확정 1차</x:v>
      </x:c>
      <x:c r="Q63" s="40" t="n">
        <x:v>46298</x:v>
      </x:c>
      <x:c r="R63" s="32" t="str">
        <x:v>2026</x:v>
      </x:c>
      <x:c r="S63" s="21" t="str">
        <x:v>Eiffel Tower</x:v>
      </x:c>
      <x:c r="T63" s="42" t="str">
        <x:v>https://www.toureiffel.paris/en/rates-opening-times</x:v>
      </x:c>
      <x:c r="U63" s="21" t="str">
        <x:v>성인 요금</x:v>
      </x:c>
    </x:row>
    <x:row r="64" ht="34" customHeight="1">
      <x:c r="A64" s="33" t="str">
        <x:v>PAR-AT-004</x:v>
      </x:c>
      <x:c r="B64" s="33" t="str">
        <x:v>프랑스</x:v>
      </x:c>
      <x:c r="C64" s="33" t="str">
        <x:v>파리</x:v>
      </x:c>
      <x:c r="D64" s="33" t="str">
        <x:v>관광</x:v>
      </x:c>
      <x:c r="E64" s="33" t="str">
        <x:v>박물관</x:v>
      </x:c>
      <x:c r="F64" s="22" t="str">
        <x:v>루브르 EEA 방문객</x:v>
      </x:c>
      <x:c r="G64" s="22" t="str">
        <x:v>Louvre EEA Visitor</x:v>
      </x:c>
      <x:c r="H64" s="39" t="n">
        <x:v>22</x:v>
      </x:c>
      <x:c r="I64" s="39" t="n">
        <x:v>22</x:v>
      </x:c>
      <x:c r="J64" s="33" t="str">
        <x:v>EUR</x:v>
      </x:c>
      <x:c r="K64" s="33" t="str">
        <x:v>성인 1인</x:v>
      </x:c>
      <x:c r="L64" s="33" t="str">
        <x:v>거주지형</x:v>
      </x:c>
      <x:c r="M64" s="33" t="str">
        <x:v>EEA</x:v>
      </x:c>
      <x:c r="N64" s="33" t="str">
        <x:v>A 공식</x:v>
      </x:c>
      <x:c r="O64" s="33" t="str">
        <x:v>예</x:v>
      </x:c>
      <x:c r="P64" s="33" t="str">
        <x:v>확정 1차</x:v>
      </x:c>
      <x:c r="Q64" s="41" t="d">
        <x:v>2026-10-02T00:00:00.000Z</x:v>
      </x:c>
      <x:c r="R64" s="33" t="str">
        <x:v>2026-01-14 이후</x:v>
      </x:c>
      <x:c r="S64" s="22" t="str">
        <x:v>Louvre Museum</x:v>
      </x:c>
      <x:c r="T64" s="43" t="str">
        <x:v>https://www.louvre.fr/en/visit/hours-admission/tickets-and-prices</x:v>
      </x:c>
      <x:c r="U64" s="22" t="str">
        <x:v>거주지·연령 무료 조건 별도</x:v>
      </x:c>
    </x:row>
    <x:row r="65" ht="34" customHeight="1">
      <x:c r="A65" s="32" t="str">
        <x:v>PAR-AT-005</x:v>
      </x:c>
      <x:c r="B65" s="32" t="str">
        <x:v>프랑스</x:v>
      </x:c>
      <x:c r="C65" s="32" t="str">
        <x:v>파리</x:v>
      </x:c>
      <x:c r="D65" s="32" t="str">
        <x:v>관광</x:v>
      </x:c>
      <x:c r="E65" s="32" t="str">
        <x:v>박물관</x:v>
      </x:c>
      <x:c r="F65" s="21" t="str">
        <x:v>루브르 비EEA 방문객</x:v>
      </x:c>
      <x:c r="G65" s="21" t="str">
        <x:v>Louvre Non-EEA Visitor</x:v>
      </x:c>
      <x:c r="H65" s="38" t="n">
        <x:v>32</x:v>
      </x:c>
      <x:c r="I65" s="38" t="n">
        <x:v>32</x:v>
      </x:c>
      <x:c r="J65" s="32" t="str">
        <x:v>EUR</x:v>
      </x:c>
      <x:c r="K65" s="32" t="str">
        <x:v>성인 1인</x:v>
      </x:c>
      <x:c r="L65" s="32" t="str">
        <x:v>거주지형</x:v>
      </x:c>
      <x:c r="M65" s="32" t="str">
        <x:v>비EEA</x:v>
      </x:c>
      <x:c r="N65" s="32" t="str">
        <x:v>A 공식</x:v>
      </x:c>
      <x:c r="O65" s="32" t="str">
        <x:v>예</x:v>
      </x:c>
      <x:c r="P65" s="32" t="str">
        <x:v>확정 1차</x:v>
      </x:c>
      <x:c r="Q65" s="40" t="n">
        <x:v>46298</x:v>
      </x:c>
      <x:c r="R65" s="32" t="str">
        <x:v>2026-01-14 이후</x:v>
      </x:c>
      <x:c r="S65" s="21" t="str">
        <x:v>Louvre Museum</x:v>
      </x:c>
      <x:c r="T65" s="42" t="str">
        <x:v>https://www.louvre.fr/en/visit/hours-admission/tickets-and-prices</x:v>
      </x:c>
      <x:c r="U65" s="21" t="str">
        <x:v>국적/거주지 규칙 명확히 표시</x:v>
      </x:c>
    </x:row>
    <x:row r="66" ht="34" customHeight="1">
      <x:c r="A66" s="33" t="str">
        <x:v>PAR-FD-001</x:v>
      </x:c>
      <x:c r="B66" s="33" t="str">
        <x:v>프랑스</x:v>
      </x:c>
      <x:c r="C66" s="33" t="str">
        <x:v>파리</x:v>
      </x:c>
      <x:c r="D66" s="33" t="str">
        <x:v>외식</x:v>
      </x:c>
      <x:c r="E66" s="33" t="str">
        <x:v>저가 한끼</x:v>
      </x:c>
      <x:c r="F66" s="22" t="str">
        <x:v>부용 샤르티에 메인 시작가</x:v>
      </x:c>
      <x:c r="G66" s="22" t="str">
        <x:v>Bouillon Chartier Main Course From</x:v>
      </x:c>
      <x:c r="H66" s="39" t="n">
        <x:v>7</x:v>
      </x:c>
      <x:c r="I66" s="39" t="n">
        <x:v>7</x:v>
      </x:c>
      <x:c r="J66" s="33" t="str">
        <x:v>EUR</x:v>
      </x:c>
      <x:c r="K66" s="33" t="str">
        <x:v>1메뉴 시작가</x:v>
      </x:c>
      <x:c r="L66" s="33" t="str">
        <x:v>메뉴형</x:v>
      </x:c>
      <x:c r="M66" s="33" t="str">
        <x:v>일반</x:v>
      </x:c>
      <x:c r="N66" s="33" t="str">
        <x:v>A 공식</x:v>
      </x:c>
      <x:c r="O66" s="33" t="str">
        <x:v>조건부</x:v>
      </x:c>
      <x:c r="P66" s="33" t="str">
        <x:v>확정 4차</x:v>
      </x:c>
      <x:c r="Q66" s="41" t="d">
        <x:v>2026-10-02T00:00:00.000Z</x:v>
      </x:c>
      <x:c r="R66" s="33" t="str">
        <x:v>2025-10 공식 메뉴</x:v>
      </x:c>
      <x:c r="S66" s="22" t="str">
        <x:v>Bouillon Chartier</x:v>
      </x:c>
      <x:c r="T66" s="43" t="str">
        <x:v>https://www.bouillon-chartier.com/chartier_medias/2025/10/Anglais.pdf</x:v>
      </x:c>
      <x:c r="U66" s="22" t="str">
        <x:v>v0.4 재확인: 공식 메뉴의 메인 코스 범위 €7.00–€13.80. 메뉴는 매일 바뀔 수 있음.</x:v>
      </x:c>
    </x:row>
    <x:row r="67" ht="34" customHeight="1">
      <x:c r="A67" s="32" t="str">
        <x:v>PAR-FD-002</x:v>
      </x:c>
      <x:c r="B67" s="32" t="str">
        <x:v>프랑스</x:v>
      </x:c>
      <x:c r="C67" s="32" t="str">
        <x:v>파리</x:v>
      </x:c>
      <x:c r="D67" s="32" t="str">
        <x:v>외식</x:v>
      </x:c>
      <x:c r="E67" s="32" t="str">
        <x:v>저가 식사</x:v>
      </x:c>
      <x:c r="F67" s="21" t="str">
        <x:v>부용 샤르티에 식사 예산 상한</x:v>
      </x:c>
      <x:c r="G67" s="21" t="str">
        <x:v>Bouillon Chartier Meal Under</x:v>
      </x:c>
      <x:c r="H67" s="38" t="n">
        <x:v>0</x:v>
      </x:c>
      <x:c r="I67" s="38" t="n">
        <x:v>20</x:v>
      </x:c>
      <x:c r="J67" s="32" t="str">
        <x:v>EUR</x:v>
      </x:c>
      <x:c r="K67" s="32" t="str">
        <x:v>1인 식사</x:v>
      </x:c>
      <x:c r="L67" s="32" t="str">
        <x:v>메뉴형</x:v>
      </x:c>
      <x:c r="M67" s="32" t="str">
        <x:v>일반</x:v>
      </x:c>
      <x:c r="N67" s="32" t="str">
        <x:v>A 공식</x:v>
      </x:c>
      <x:c r="O67" s="32" t="str">
        <x:v>조건부</x:v>
      </x:c>
      <x:c r="P67" s="32" t="str">
        <x:v>확정 4차</x:v>
      </x:c>
      <x:c r="Q67" s="40" t="d">
        <x:v>2026-10-02T00:00:00.000Z</x:v>
      </x:c>
      <x:c r="R67" s="32" t="str">
        <x:v>2026 홈페이지 안내</x:v>
      </x:c>
      <x:c r="S67" s="21" t="str">
        <x:v>Bouillon Chartier</x:v>
      </x:c>
      <x:c r="T67" s="42" t="str">
        <x:v>https://www.bouillon-chartier.com/en/the-concept/</x:v>
      </x:c>
      <x:c r="U67" s="21" t="str">
        <x:v>v0.4 재확인: 공식 홈페이지는 한 끼가 €20 미만이라고 안내. 정확한 메뉴 선택에 따라 달라짐.</x:v>
      </x:c>
    </x:row>
    <x:row r="68" ht="34" customHeight="1">
      <x:c r="A68" s="33" t="str">
        <x:v>PAR-SV-001</x:v>
      </x:c>
      <x:c r="B68" s="33" t="str">
        <x:v>프랑스</x:v>
      </x:c>
      <x:c r="C68" s="33" t="str">
        <x:v>파리</x:v>
      </x:c>
      <x:c r="D68" s="33" t="str">
        <x:v>기념품</x:v>
      </x:c>
      <x:c r="E68" s="33" t="str">
        <x:v>잡화</x:v>
      </x:c>
      <x:c r="F68" s="22" t="str">
        <x:v>에펠탑 토트백</x:v>
      </x:c>
      <x:c r="G68" s="22" t="str">
        <x:v>Eiffel Tower Tote Bag</x:v>
      </x:c>
      <x:c r="H68" s="39" t="n">
        <x:v>19.99</x:v>
      </x:c>
      <x:c r="I68" s="39" t="n">
        <x:v>19.99</x:v>
      </x:c>
      <x:c r="J68" s="33" t="str">
        <x:v>EUR</x:v>
      </x:c>
      <x:c r="K68" s="33" t="str">
        <x:v>1개</x:v>
      </x:c>
      <x:c r="L68" s="33" t="str">
        <x:v>재고형</x:v>
      </x:c>
      <x:c r="M68" s="33" t="str">
        <x:v>일반</x:v>
      </x:c>
      <x:c r="N68" s="33" t="str">
        <x:v>A 공식</x:v>
      </x:c>
      <x:c r="O68" s="33" t="str">
        <x:v>예</x:v>
      </x:c>
      <x:c r="P68" s="33" t="str">
        <x:v>확정 1차</x:v>
      </x:c>
      <x:c r="Q68" s="41" t="n">
        <x:v>46298</x:v>
      </x:c>
      <x:c r="R68" s="33" t="str">
        <x:v>2026</x:v>
      </x:c>
      <x:c r="S68" s="22" t="str">
        <x:v>Official Eiffel Tower Shop</x:v>
      </x:c>
      <x:c r="T68" s="43" t="str">
        <x:v>https://shop.toureiffel.paris/en/tote-bag/20-tote-bag-gustave-eiffel-collection.html</x:v>
      </x:c>
      <x:c r="U68" s="22" t="str">
        <x:v>v0.4 재확인: 에펠탑 공식몰의 토트백 €19.99, 세금 포함.</x:v>
      </x:c>
    </x:row>
    <x:row r="69" ht="34" customHeight="1">
      <x:c r="A69" s="32" t="str">
        <x:v>PAR-SV-002</x:v>
      </x:c>
      <x:c r="B69" s="32" t="str">
        <x:v>프랑스</x:v>
      </x:c>
      <x:c r="C69" s="32" t="str">
        <x:v>파리</x:v>
      </x:c>
      <x:c r="D69" s="32" t="str">
        <x:v>기념품</x:v>
      </x:c>
      <x:c r="E69" s="32" t="str">
        <x:v>식품</x:v>
      </x:c>
      <x:c r="F69" s="21" t="str">
        <x:v>에펠탑 티 선물</x:v>
      </x:c>
      <x:c r="G69" s="21" t="str">
        <x:v>Eiffel Tower Tea Gift</x:v>
      </x:c>
      <x:c r="H69" s="38" t="n">
        <x:v>11.99</x:v>
      </x:c>
      <x:c r="I69" s="38" t="n">
        <x:v>11.99</x:v>
      </x:c>
      <x:c r="J69" s="32" t="str">
        <x:v>EUR</x:v>
      </x:c>
      <x:c r="K69" s="32" t="str">
        <x:v>1개</x:v>
      </x:c>
      <x:c r="L69" s="32" t="str">
        <x:v>재고형</x:v>
      </x:c>
      <x:c r="M69" s="32" t="str">
        <x:v>일반</x:v>
      </x:c>
      <x:c r="N69" s="32" t="str">
        <x:v>A 공식</x:v>
      </x:c>
      <x:c r="O69" s="32" t="str">
        <x:v>예</x:v>
      </x:c>
      <x:c r="P69" s="32" t="str">
        <x:v>확정 1차</x:v>
      </x:c>
      <x:c r="Q69" s="40" t="n">
        <x:v>46298</x:v>
      </x:c>
      <x:c r="R69" s="32" t="str">
        <x:v>2026</x:v>
      </x:c>
      <x:c r="S69" s="21" t="str">
        <x:v>Official Eiffel Tower Shop</x:v>
      </x:c>
      <x:c r="T69" s="42" t="str">
        <x:v>https://shop.toureiffel.paris/en/gourmet/92-box-of-6-tea-bags-eiffel-tower-dammann-freres.html</x:v>
      </x:c>
      <x:c r="U69" s="21" t="str">
        <x:v>v0.4 재확인: 에펠탑 공식몰 Dammann Frères 티백 6개 €11.99, 세금 포함.</x:v>
      </x:c>
    </x:row>
    <x:row r="70" ht="34" customHeight="1">
      <x:c r="A70" s="33" t="str">
        <x:v>PAR-SV-003</x:v>
      </x:c>
      <x:c r="B70" s="33" t="str">
        <x:v>프랑스</x:v>
      </x:c>
      <x:c r="C70" s="33" t="str">
        <x:v>파리</x:v>
      </x:c>
      <x:c r="D70" s="33" t="str">
        <x:v>기념품</x:v>
      </x:c>
      <x:c r="E70" s="33" t="str">
        <x:v>식품</x:v>
      </x:c>
      <x:c r="F70" s="22" t="str">
        <x:v>마카롱 낱개</x:v>
      </x:c>
      <x:c r="G70" s="22" t="str">
        <x:v>Macaron Each</x:v>
      </x:c>
      <x:c r="H70" s="39" t="n">
        <x:v>3.2</x:v>
      </x:c>
      <x:c r="I70" s="39" t="n">
        <x:v>3.7</x:v>
      </x:c>
      <x:c r="J70" s="33" t="str">
        <x:v>EUR</x:v>
      </x:c>
      <x:c r="K70" s="33" t="str">
        <x:v>1개</x:v>
      </x:c>
      <x:c r="L70" s="33" t="str">
        <x:v>매장형</x:v>
      </x:c>
      <x:c r="M70" s="33" t="str">
        <x:v>일반</x:v>
      </x:c>
      <x:c r="N70" s="33" t="str">
        <x:v>A 공식</x:v>
      </x:c>
      <x:c r="O70" s="33" t="str">
        <x:v>예</x:v>
      </x:c>
      <x:c r="P70" s="33" t="str">
        <x:v>확정 1차</x:v>
      </x:c>
      <x:c r="Q70" s="41" t="n">
        <x:v>46298</x:v>
      </x:c>
      <x:c r="R70" s="33" t="str">
        <x:v>현재 공식 안내</x:v>
      </x:c>
      <x:c r="S70" s="22" t="str">
        <x:v>Eiffel Tower / Pierre Hermé</x:v>
      </x:c>
      <x:c r="T70" s="43" t="str">
        <x:v>https://www.toureiffel.paris/en/news/visit/spotlight-pierre-herme-paris-macarons-eiffel-tower</x:v>
      </x:c>
      <x:c r="U70" s="22" t="str">
        <x:v>에펠탑 2층 판매: 대부분 €3.20, 선택 맛 €3.70</x:v>
      </x:c>
    </x:row>
    <x:row r="71" ht="34" customHeight="1">
      <x:c r="A71" s="32" t="str">
        <x:v>LON-TR-001</x:v>
      </x:c>
      <x:c r="B71" s="32" t="str">
        <x:v>영국</x:v>
      </x:c>
      <x:c r="C71" s="32" t="str">
        <x:v>런던</x:v>
      </x:c>
      <x:c r="D71" s="32" t="str">
        <x:v>교통</x:v>
      </x:c>
      <x:c r="E71" s="32" t="str">
        <x:v>일일 상한</x:v>
      </x:c>
      <x:c r="F71" s="21" t="str">
        <x:v>TfL 존 1-2 일일 상한</x:v>
      </x:c>
      <x:c r="G71" s="21" t="str">
        <x:v>TfL Zones 1-2 Daily Cap</x:v>
      </x:c>
      <x:c r="H71" s="38" t="n">
        <x:v>8.9</x:v>
      </x:c>
      <x:c r="I71" s="38" t="n">
        <x:v>8.9</x:v>
      </x:c>
      <x:c r="J71" s="32" t="str">
        <x:v>GBP</x:v>
      </x:c>
      <x:c r="K71" s="32" t="str">
        <x:v>성인 1일</x:v>
      </x:c>
      <x:c r="L71" s="32" t="str">
        <x:v>고정형</x:v>
      </x:c>
      <x:c r="M71" s="32" t="str">
        <x:v>일반</x:v>
      </x:c>
      <x:c r="N71" s="32" t="str">
        <x:v>A 공식</x:v>
      </x:c>
      <x:c r="O71" s="32" t="str">
        <x:v>예</x:v>
      </x:c>
      <x:c r="P71" s="32" t="str">
        <x:v>확정 1차</x:v>
      </x:c>
      <x:c r="Q71" s="40" t="n">
        <x:v>46298</x:v>
      </x:c>
      <x:c r="R71" s="32" t="str">
        <x:v>2026</x:v>
      </x:c>
      <x:c r="S71" s="21" t="str">
        <x:v>Transport for London</x:v>
      </x:c>
      <x:c r="T71" s="42" t="str">
        <x:v>https://madeby.tfl.gov.uk/2026/09/07/london-life-as-a-student/</x:v>
      </x:c>
      <x:c r="U71" s="21" t="str">
        <x:v>비접촉식/오이스터 상한 규칙 확인</x:v>
      </x:c>
    </x:row>
    <x:row r="72" ht="34" customHeight="1">
      <x:c r="A72" s="33" t="str">
        <x:v>LON-AT-001</x:v>
      </x:c>
      <x:c r="B72" s="33" t="str">
        <x:v>영국</x:v>
      </x:c>
      <x:c r="C72" s="33" t="str">
        <x:v>런던</x:v>
      </x:c>
      <x:c r="D72" s="33" t="str">
        <x:v>관광</x:v>
      </x:c>
      <x:c r="E72" s="33" t="str">
        <x:v>역사명소</x:v>
      </x:c>
      <x:c r="F72" s="22" t="str">
        <x:v>런던탑 성인권</x:v>
      </x:c>
      <x:c r="G72" s="22" t="str">
        <x:v>Tower of London Adult Ticket</x:v>
      </x:c>
      <x:c r="H72" s="39" t="n">
        <x:v>37</x:v>
      </x:c>
      <x:c r="I72" s="39" t="n">
        <x:v>37</x:v>
      </x:c>
      <x:c r="J72" s="33" t="str">
        <x:v>GBP</x:v>
      </x:c>
      <x:c r="K72" s="33" t="str">
        <x:v>성인 1인</x:v>
      </x:c>
      <x:c r="L72" s="33" t="str">
        <x:v>고정형</x:v>
      </x:c>
      <x:c r="M72" s="33" t="str">
        <x:v>성인</x:v>
      </x:c>
      <x:c r="N72" s="33" t="str">
        <x:v>A 공식</x:v>
      </x:c>
      <x:c r="O72" s="33" t="str">
        <x:v>예</x:v>
      </x:c>
      <x:c r="P72" s="33" t="str">
        <x:v>확정 4차</x:v>
      </x:c>
      <x:c r="Q72" s="41" t="n">
        <x:v>46298</x:v>
      </x:c>
      <x:c r="R72" s="33" t="str">
        <x:v>2026</x:v>
      </x:c>
      <x:c r="S72" s="22" t="str">
        <x:v>Historic Royal Palaces</x:v>
      </x:c>
      <x:c r="T72" s="43" t="str">
        <x:v>https://www.hrp.org.uk/tower-of-london/</x:v>
      </x:c>
      <x:c r="U72" s="22" t="str">
        <x:v>v0.4 재확인: 성인 18–64세, 기부금 미포함 가격 £37. 이전 £38에서 현재 공식가로 수정.</x:v>
      </x:c>
    </x:row>
    <x:row r="73" ht="34" customHeight="1">
      <x:c r="A73" s="32" t="str">
        <x:v>LON-AT-002</x:v>
      </x:c>
      <x:c r="B73" s="32" t="str">
        <x:v>영국</x:v>
      </x:c>
      <x:c r="C73" s="32" t="str">
        <x:v>런던</x:v>
      </x:c>
      <x:c r="D73" s="32" t="str">
        <x:v>관광</x:v>
      </x:c>
      <x:c r="E73" s="32" t="str">
        <x:v>역사명소</x:v>
      </x:c>
      <x:c r="F73" s="21" t="str">
        <x:v>런던탑 아동권</x:v>
      </x:c>
      <x:c r="G73" s="21" t="str">
        <x:v>Tower of London Child Ticket</x:v>
      </x:c>
      <x:c r="H73" s="38" t="n">
        <x:v>18.5</x:v>
      </x:c>
      <x:c r="I73" s="38" t="n">
        <x:v>18.5</x:v>
      </x:c>
      <x:c r="J73" s="32" t="str">
        <x:v>GBP</x:v>
      </x:c>
      <x:c r="K73" s="32" t="str">
        <x:v>아동 1인</x:v>
      </x:c>
      <x:c r="L73" s="32" t="str">
        <x:v>고정형</x:v>
      </x:c>
      <x:c r="M73" s="32" t="str">
        <x:v>5-15세</x:v>
      </x:c>
      <x:c r="N73" s="32" t="str">
        <x:v>A 공식</x:v>
      </x:c>
      <x:c r="O73" s="32" t="str">
        <x:v>예</x:v>
      </x:c>
      <x:c r="P73" s="32" t="str">
        <x:v>확정 4차</x:v>
      </x:c>
      <x:c r="Q73" s="40" t="n">
        <x:v>46298</x:v>
      </x:c>
      <x:c r="R73" s="32" t="str">
        <x:v>2026</x:v>
      </x:c>
      <x:c r="S73" s="21" t="str">
        <x:v>Historic Royal Palaces</x:v>
      </x:c>
      <x:c r="T73" s="42" t="str">
        <x:v>https://www.hrp.org.uk/tower-of-london/</x:v>
      </x:c>
      <x:c r="U73" s="21" t="str">
        <x:v>v0.4 재확인: 아동 5–15세, 기부금 미포함 가격 £18.50. 이전 £19에서 현재 공식가로 수정.</x:v>
      </x:c>
    </x:row>
    <x:row r="74" ht="34" customHeight="1">
      <x:c r="A74" s="33" t="str">
        <x:v>LON-AT-003</x:v>
      </x:c>
      <x:c r="B74" s="33" t="str">
        <x:v>영국</x:v>
      </x:c>
      <x:c r="C74" s="33" t="str">
        <x:v>런던</x:v>
      </x:c>
      <x:c r="D74" s="33" t="str">
        <x:v>관광</x:v>
      </x:c>
      <x:c r="E74" s="33" t="str">
        <x:v>전망시설</x:v>
      </x:c>
      <x:c r="F74" s="22" t="str">
        <x:v>런던아이 성인권</x:v>
      </x:c>
      <x:c r="G74" s="22" t="str">
        <x:v>London Eye Adult Ticket</x:v>
      </x:c>
      <x:c r="H74" s="39" t="n">
        <x:v>29</x:v>
      </x:c>
      <x:c r="I74" s="39" t="n">
        <x:v>39</x:v>
      </x:c>
      <x:c r="J74" s="33" t="str">
        <x:v>GBP</x:v>
      </x:c>
      <x:c r="K74" s="33" t="str">
        <x:v>성인 1인</x:v>
      </x:c>
      <x:c r="L74" s="33" t="str">
        <x:v>수요형</x:v>
      </x:c>
      <x:c r="M74" s="33" t="str">
        <x:v>성인</x:v>
      </x:c>
      <x:c r="N74" s="33" t="str">
        <x:v>A 공식</x:v>
      </x:c>
      <x:c r="O74" s="33" t="str">
        <x:v>예</x:v>
      </x:c>
      <x:c r="P74" s="33" t="str">
        <x:v>확정 1차</x:v>
      </x:c>
      <x:c r="Q74" s="41" t="d">
        <x:v>2026-10-02T00:00:00.000Z</x:v>
      </x:c>
      <x:c r="R74" s="33" t="str">
        <x:v>2026</x:v>
      </x:c>
      <x:c r="S74" s="22" t="str">
        <x:v>London Eye</x:v>
      </x:c>
      <x:c r="T74" s="43" t="str">
        <x:v>https://www.londoneye.com/tickets-and-prices/</x:v>
      </x:c>
      <x:c r="U74" s="22" t="str">
        <x:v>온라인 사전 최저 29, 현장 39; 수요에 따라 변동</x:v>
      </x:c>
    </x:row>
    <x:row r="75" ht="34" customHeight="1">
      <x:c r="A75" s="32" t="str">
        <x:v>LON-AT-004</x:v>
      </x:c>
      <x:c r="B75" s="32" t="str">
        <x:v>영국</x:v>
      </x:c>
      <x:c r="C75" s="32" t="str">
        <x:v>런던</x:v>
      </x:c>
      <x:c r="D75" s="32" t="str">
        <x:v>관광</x:v>
      </x:c>
      <x:c r="E75" s="32" t="str">
        <x:v>전망시설</x:v>
      </x:c>
      <x:c r="F75" s="21" t="str">
        <x:v>런던아이 아동권</x:v>
      </x:c>
      <x:c r="G75" s="21" t="str">
        <x:v>London Eye Child Ticket</x:v>
      </x:c>
      <x:c r="H75" s="38" t="n">
        <x:v>26</x:v>
      </x:c>
      <x:c r="I75" s="38" t="n">
        <x:v>35</x:v>
      </x:c>
      <x:c r="J75" s="32" t="str">
        <x:v>GBP</x:v>
      </x:c>
      <x:c r="K75" s="32" t="str">
        <x:v>아동 1인</x:v>
      </x:c>
      <x:c r="L75" s="32" t="str">
        <x:v>수요형</x:v>
      </x:c>
      <x:c r="M75" s="32" t="str">
        <x:v>2-15세</x:v>
      </x:c>
      <x:c r="N75" s="32" t="str">
        <x:v>A 공식</x:v>
      </x:c>
      <x:c r="O75" s="32" t="str">
        <x:v>예</x:v>
      </x:c>
      <x:c r="P75" s="32" t="str">
        <x:v>확정 1차</x:v>
      </x:c>
      <x:c r="Q75" s="40" t="d">
        <x:v>2026-10-02T00:00:00.000Z</x:v>
      </x:c>
      <x:c r="R75" s="32" t="str">
        <x:v>2026</x:v>
      </x:c>
      <x:c r="S75" s="21" t="str">
        <x:v>London Eye</x:v>
      </x:c>
      <x:c r="T75" s="42" t="str">
        <x:v>https://www.londoneye.com/tickets-and-prices/</x:v>
      </x:c>
      <x:c r="U75" s="21" t="str">
        <x:v>온라인 사전 최저 26, 현장 35</x:v>
      </x:c>
    </x:row>
    <x:row r="76" ht="34" customHeight="1">
      <x:c r="A76" s="33" t="str">
        <x:v>LON-AT-005</x:v>
      </x:c>
      <x:c r="B76" s="33" t="str">
        <x:v>영국</x:v>
      </x:c>
      <x:c r="C76" s="33" t="str">
        <x:v>런던</x:v>
      </x:c>
      <x:c r="D76" s="33" t="str">
        <x:v>관광</x:v>
      </x:c>
      <x:c r="E76" s="33" t="str">
        <x:v>박물관</x:v>
      </x:c>
      <x:c r="F76" s="22" t="str">
        <x:v>대영박물관 상설 관람</x:v>
      </x:c>
      <x:c r="G76" s="22" t="str">
        <x:v>British Museum General Admission</x:v>
      </x:c>
      <x:c r="H76" s="39" t="n">
        <x:v>0</x:v>
      </x:c>
      <x:c r="I76" s="39" t="n">
        <x:v>0</x:v>
      </x:c>
      <x:c r="J76" s="33" t="str">
        <x:v>GBP</x:v>
      </x:c>
      <x:c r="K76" s="33" t="str">
        <x:v>1인</x:v>
      </x:c>
      <x:c r="L76" s="33" t="str">
        <x:v>고정형</x:v>
      </x:c>
      <x:c r="M76" s="33" t="str">
        <x:v>일반</x:v>
      </x:c>
      <x:c r="N76" s="33" t="str">
        <x:v>A 공식</x:v>
      </x:c>
      <x:c r="O76" s="33" t="str">
        <x:v>예</x:v>
      </x:c>
      <x:c r="P76" s="33" t="str">
        <x:v>재검증</x:v>
      </x:c>
      <x:c r="Q76" s="41" t="d">
        <x:v>2026-10-02T00:00:00.000Z</x:v>
      </x:c>
      <x:c r="R76" s="33" t="str">
        <x:v>2026</x:v>
      </x:c>
      <x:c r="S76" s="22" t="str">
        <x:v>British Museum</x:v>
      </x:c>
      <x:c r="T76" s="43" t="str">
        <x:v>https://www.britishmuseum.org/visit</x:v>
      </x:c>
      <x:c r="U76" s="22" t="str">
        <x:v>특별전 별도; 무료 입장 문구 재캡처</x:v>
      </x:c>
    </x:row>
    <x:row r="77" ht="34" customHeight="1">
      <x:c r="A77" s="32" t="str">
        <x:v>LON-FD-001</x:v>
      </x:c>
      <x:c r="B77" s="32" t="str">
        <x:v>영국</x:v>
      </x:c>
      <x:c r="C77" s="32" t="str">
        <x:v>런던</x:v>
      </x:c>
      <x:c r="D77" s="32" t="str">
        <x:v>외식</x:v>
      </x:c>
      <x:c r="E77" s="32" t="str">
        <x:v>사이드/간식</x:v>
      </x:c>
      <x:c r="F77" s="21" t="str">
        <x:v>칠리 버터 콘립</x:v>
      </x:c>
      <x:c r="G77" s="21" t="str">
        <x:v>Chilli Butter-Bhutta</x:v>
      </x:c>
      <x:c r="H77" s="38" t="n">
        <x:v>6.7</x:v>
      </x:c>
      <x:c r="I77" s="38" t="n">
        <x:v>6.7</x:v>
      </x:c>
      <x:c r="J77" s="32" t="str">
        <x:v>GBP</x:v>
      </x:c>
      <x:c r="K77" s="32" t="str">
        <x:v>1접시</x:v>
      </x:c>
      <x:c r="L77" s="32" t="str">
        <x:v>고정형</x:v>
      </x:c>
      <x:c r="M77" s="32" t="str">
        <x:v>일반</x:v>
      </x:c>
      <x:c r="N77" s="32" t="str">
        <x:v>A 공식</x:v>
      </x:c>
      <x:c r="O77" s="32" t="str">
        <x:v>예</x:v>
      </x:c>
      <x:c r="P77" s="32" t="str">
        <x:v>확정 1차</x:v>
      </x:c>
      <x:c r="Q77" s="40" t="d">
        <x:v>2026-10-02T00:00:00.000Z</x:v>
      </x:c>
      <x:c r="R77" s="32" t="str">
        <x:v>2026</x:v>
      </x:c>
      <x:c r="S77" s="21" t="str">
        <x:v>Dishoom Canary Wharf</x:v>
      </x:c>
      <x:c r="T77" s="42" t="str">
        <x:v>https://www.dishoom.com/menu/canary-wharf-all-day/</x:v>
      </x:c>
      <x:c r="U77" s="21" t="str">
        <x:v>지점 메뉴 표본</x:v>
      </x:c>
    </x:row>
    <x:row r="78" ht="34" customHeight="1">
      <x:c r="A78" s="33" t="str">
        <x:v>LON-FD-002</x:v>
      </x:c>
      <x:c r="B78" s="33" t="str">
        <x:v>영국</x:v>
      </x:c>
      <x:c r="C78" s="33" t="str">
        <x:v>런던</x:v>
      </x:c>
      <x:c r="D78" s="33" t="str">
        <x:v>외식</x:v>
      </x:c>
      <x:c r="E78" s="33" t="str">
        <x:v>사이드</x:v>
      </x:c>
      <x:c r="F78" s="22" t="str">
        <x:v>플레인 난</x:v>
      </x:c>
      <x:c r="G78" s="22" t="str">
        <x:v>Plain Naan</x:v>
      </x:c>
      <x:c r="H78" s="39" t="n">
        <x:v>4.9</x:v>
      </x:c>
      <x:c r="I78" s="39" t="n">
        <x:v>4.9</x:v>
      </x:c>
      <x:c r="J78" s="33" t="str">
        <x:v>GBP</x:v>
      </x:c>
      <x:c r="K78" s="33" t="str">
        <x:v>1개</x:v>
      </x:c>
      <x:c r="L78" s="33" t="str">
        <x:v>고정형</x:v>
      </x:c>
      <x:c r="M78" s="33" t="str">
        <x:v>일반</x:v>
      </x:c>
      <x:c r="N78" s="33" t="str">
        <x:v>A 공식</x:v>
      </x:c>
      <x:c r="O78" s="33" t="str">
        <x:v>예</x:v>
      </x:c>
      <x:c r="P78" s="33" t="str">
        <x:v>확정 1차</x:v>
      </x:c>
      <x:c r="Q78" s="41" t="d">
        <x:v>2026-10-02T00:00:00.000Z</x:v>
      </x:c>
      <x:c r="R78" s="33" t="str">
        <x:v>2026</x:v>
      </x:c>
      <x:c r="S78" s="22" t="str">
        <x:v>Dishoom Canary Wharf</x:v>
      </x:c>
      <x:c r="T78" s="43" t="str">
        <x:v>https://www.dishoom.com/menu/canary-wharf-all-day/</x:v>
      </x:c>
      <x:c r="U78" s="22" t="str">
        <x:v>한 끼 전체가 아닌 구성품 표본</x:v>
      </x:c>
    </x:row>
    <x:row r="79" ht="34" customHeight="1">
      <x:c r="A79" s="32" t="str">
        <x:v>LON-FD-003</x:v>
      </x:c>
      <x:c r="B79" s="32" t="str">
        <x:v>영국</x:v>
      </x:c>
      <x:c r="C79" s="32" t="str">
        <x:v>런던</x:v>
      </x:c>
      <x:c r="D79" s="32" t="str">
        <x:v>외식</x:v>
      </x:c>
      <x:c r="E79" s="32" t="str">
        <x:v>저가 아침</x:v>
      </x:c>
      <x:c r="F79" s="21" t="str">
        <x:v>펍 전통 아침식사</x:v>
      </x:c>
      <x:c r="G79" s="21" t="str">
        <x:v>Traditional Breakfast</x:v>
      </x:c>
      <x:c r="H79" s="38" t="n">
        <x:v>5.19</x:v>
      </x:c>
      <x:c r="I79" s="38" t="n">
        <x:v>5.19</x:v>
      </x:c>
      <x:c r="J79" s="32" t="str">
        <x:v>GBP</x:v>
      </x:c>
      <x:c r="K79" s="32" t="str">
        <x:v>1메뉴</x:v>
      </x:c>
      <x:c r="L79" s="32" t="str">
        <x:v>매장형</x:v>
      </x:c>
      <x:c r="M79" s="32" t="str">
        <x:v>일반</x:v>
      </x:c>
      <x:c r="N79" s="32" t="str">
        <x:v>C 보조</x:v>
      </x:c>
      <x:c r="O79" s="32" t="str">
        <x:v>아니오</x:v>
      </x:c>
      <x:c r="P79" s="32" t="str">
        <x:v>재검증</x:v>
      </x:c>
      <x:c r="Q79" s="40" t="d">
        <x:v>2026-10-02T00:00:00.000Z</x:v>
      </x:c>
      <x:c r="R79" s="32" t="str">
        <x:v>2026</x:v>
      </x:c>
      <x:c r="S79" s="21" t="str">
        <x:v>Current menu tracker</x:v>
      </x:c>
      <x:c r="T79" s="42" t="str">
        <x:v>https://www.wetherspoons.com/food/menu/</x:v>
      </x:c>
      <x:c r="U79" s="21" t="str">
        <x:v>공식 지점 가격표 확보 전 모델 제외</x:v>
      </x:c>
    </x:row>
    <x:row r="80" ht="34" customHeight="1">
      <x:c r="A80" s="33" t="str">
        <x:v>LON-FD-004</x:v>
      </x:c>
      <x:c r="B80" s="33" t="str">
        <x:v>영국</x:v>
      </x:c>
      <x:c r="C80" s="33" t="str">
        <x:v>런던</x:v>
      </x:c>
      <x:c r="D80" s="33" t="str">
        <x:v>외식</x:v>
      </x:c>
      <x:c r="E80" s="33" t="str">
        <x:v>펍 한끼</x:v>
      </x:c>
      <x:c r="F80" s="22" t="str">
        <x:v>피시앤칩스</x:v>
      </x:c>
      <x:c r="G80" s="22" t="str">
        <x:v>Fish and Chips</x:v>
      </x:c>
      <x:c r="H80" s="39" t="n">
        <x:v>12.09</x:v>
      </x:c>
      <x:c r="I80" s="39" t="n">
        <x:v>12.09</x:v>
      </x:c>
      <x:c r="J80" s="33" t="str">
        <x:v>GBP</x:v>
      </x:c>
      <x:c r="K80" s="33" t="str">
        <x:v>1메뉴</x:v>
      </x:c>
      <x:c r="L80" s="33" t="str">
        <x:v>매장형</x:v>
      </x:c>
      <x:c r="M80" s="33" t="str">
        <x:v>일반</x:v>
      </x:c>
      <x:c r="N80" s="33" t="str">
        <x:v>C 보조</x:v>
      </x:c>
      <x:c r="O80" s="33" t="str">
        <x:v>아니오</x:v>
      </x:c>
      <x:c r="P80" s="33" t="str">
        <x:v>재검증</x:v>
      </x:c>
      <x:c r="Q80" s="41" t="d">
        <x:v>2026-10-02T00:00:00.000Z</x:v>
      </x:c>
      <x:c r="R80" s="33" t="str">
        <x:v>2026</x:v>
      </x:c>
      <x:c r="S80" s="22" t="str">
        <x:v>Current menu tracker</x:v>
      </x:c>
      <x:c r="T80" s="43" t="str">
        <x:v>https://www.wetherspoons.com/food/menu/</x:v>
      </x:c>
      <x:c r="U80" s="22" t="str">
        <x:v>지점별 가격 가능; 공식 PDF 가격 캡처 필요</x:v>
      </x:c>
    </x:row>
    <x:row r="81" ht="34" customHeight="1">
      <x:c r="A81" s="32" t="str">
        <x:v>LON-SV-001</x:v>
      </x:c>
      <x:c r="B81" s="32" t="str">
        <x:v>영국</x:v>
      </x:c>
      <x:c r="C81" s="32" t="str">
        <x:v>런던</x:v>
      </x:c>
      <x:c r="D81" s="32" t="str">
        <x:v>기념품</x:v>
      </x:c>
      <x:c r="E81" s="32" t="str">
        <x:v>박물관 굿즈</x:v>
      </x:c>
      <x:c r="F81" s="21" t="str">
        <x:v>대영박물관 건물 핀 배지</x:v>
      </x:c>
      <x:c r="G81" s="21" t="str">
        <x:v>British Museum Pin Badge</x:v>
      </x:c>
      <x:c r="H81" s="38" t="n">
        <x:v>3.5</x:v>
      </x:c>
      <x:c r="I81" s="38" t="n">
        <x:v>3.5</x:v>
      </x:c>
      <x:c r="J81" s="32" t="str">
        <x:v>GBP</x:v>
      </x:c>
      <x:c r="K81" s="32" t="str">
        <x:v>1개</x:v>
      </x:c>
      <x:c r="L81" s="32" t="str">
        <x:v>재고형</x:v>
      </x:c>
      <x:c r="M81" s="32" t="str">
        <x:v>일반</x:v>
      </x:c>
      <x:c r="N81" s="32" t="str">
        <x:v>A 공식</x:v>
      </x:c>
      <x:c r="O81" s="32" t="str">
        <x:v>예</x:v>
      </x:c>
      <x:c r="P81" s="32" t="str">
        <x:v>확정 4차</x:v>
      </x:c>
      <x:c r="Q81" s="40" t="n">
        <x:v>46298</x:v>
      </x:c>
      <x:c r="R81" s="32" t="str">
        <x:v>2026-10-03 재고</x:v>
      </x:c>
      <x:c r="S81" s="21" t="str">
        <x:v>British Museum Shop</x:v>
      </x:c>
      <x:c r="T81" s="42" t="str">
        <x:v>https://www.britishmuseumshoponline.org/british-museum-pin-badge.html</x:v>
      </x:c>
      <x:c r="U81" s="21" t="str">
        <x:v>v0.4 재확인: 기존 소형 굿즈 시작가 대신 공식몰의 British Museum Pin Badge £3.50로 구체화. 확인일 기준 재고 표시.</x:v>
      </x:c>
    </x:row>
    <x:row r="82" ht="34" customHeight="1">
      <x:c r="A82" s="33" t="str">
        <x:v>TYO-AT-002</x:v>
      </x:c>
      <x:c r="B82" s="33" t="str">
        <x:v>일본</x:v>
      </x:c>
      <x:c r="C82" s="33" t="str">
        <x:v>도쿄</x:v>
      </x:c>
      <x:c r="D82" s="33" t="str">
        <x:v>관광</x:v>
      </x:c>
      <x:c r="E82" s="33" t="str">
        <x:v>전망대</x:v>
      </x:c>
      <x:c r="F82" s="22" t="str">
        <x:v>도쿄타워 메인데크</x:v>
      </x:c>
      <x:c r="G82" s="22" t="str">
        <x:v>Tokyo Tower Main Deck</x:v>
      </x:c>
      <x:c r="H82" s="39" t="n">
        <x:v>1500</x:v>
      </x:c>
      <x:c r="I82" s="39" t="n">
        <x:v>1500</x:v>
      </x:c>
      <x:c r="J82" s="33" t="str">
        <x:v>JPY</x:v>
      </x:c>
      <x:c r="K82" s="33" t="str">
        <x:v>성인 1인</x:v>
      </x:c>
      <x:c r="L82" s="33" t="str">
        <x:v>고정형</x:v>
      </x:c>
      <x:c r="M82" s="33" t="str">
        <x:v>일반</x:v>
      </x:c>
      <x:c r="N82" s="33" t="str">
        <x:v>A 공식</x:v>
      </x:c>
      <x:c r="O82" s="33" t="str">
        <x:v>예</x:v>
      </x:c>
      <x:c r="P82" s="33" t="str">
        <x:v>확정 2차</x:v>
      </x:c>
      <x:c r="Q82" s="41" t="n">
        <x:v>46298</x:v>
      </x:c>
      <x:c r="R82" s="33" t="str">
        <x:v>2026</x:v>
      </x:c>
      <x:c r="S82" s="22" t="str">
        <x:v>Tokyo Tower</x:v>
      </x:c>
      <x:c r="T82" s="43" t="str">
        <x:v>https://en.tokyotower.co.jp/fee/</x:v>
      </x:c>
      <x:c r="U82" s="22" t="str">
        <x:v>공식 일반요금</x:v>
      </x:c>
    </x:row>
    <x:row r="83" ht="34" customHeight="1">
      <x:c r="A83" s="32" t="str">
        <x:v>TYO-AT-003</x:v>
      </x:c>
      <x:c r="B83" s="32" t="str">
        <x:v>일본</x:v>
      </x:c>
      <x:c r="C83" s="32" t="str">
        <x:v>도쿄</x:v>
      </x:c>
      <x:c r="D83" s="32" t="str">
        <x:v>관광</x:v>
      </x:c>
      <x:c r="E83" s="32" t="str">
        <x:v>박물관</x:v>
      </x:c>
      <x:c r="F83" s="21" t="str">
        <x:v>도쿄국립박물관 종합문화전</x:v>
      </x:c>
      <x:c r="G83" s="21" t="str">
        <x:v>Tokyo National Museum Regular Exhibition</x:v>
      </x:c>
      <x:c r="H83" s="38" t="n">
        <x:v>1000</x:v>
      </x:c>
      <x:c r="I83" s="38" t="n">
        <x:v>1000</x:v>
      </x:c>
      <x:c r="J83" s="32" t="str">
        <x:v>JPY</x:v>
      </x:c>
      <x:c r="K83" s="32" t="str">
        <x:v>성인 1인</x:v>
      </x:c>
      <x:c r="L83" s="32" t="str">
        <x:v>고정형</x:v>
      </x:c>
      <x:c r="M83" s="32" t="str">
        <x:v>일반</x:v>
      </x:c>
      <x:c r="N83" s="32" t="str">
        <x:v>A 공식</x:v>
      </x:c>
      <x:c r="O83" s="32" t="str">
        <x:v>예</x:v>
      </x:c>
      <x:c r="P83" s="32" t="str">
        <x:v>확정 2차</x:v>
      </x:c>
      <x:c r="Q83" s="40" t="d">
        <x:v>2026-10-02T00:00:00.000Z</x:v>
      </x:c>
      <x:c r="R83" s="32" t="str">
        <x:v>2026</x:v>
      </x:c>
      <x:c r="S83" s="21" t="str">
        <x:v>Tokyo National Museum</x:v>
      </x:c>
      <x:c r="T83" s="42" t="str">
        <x:v>https://www.tnm.jp/modules/r_free_page/index.php?id=113</x:v>
      </x:c>
      <x:c r="U83" s="21" t="str">
        <x:v>특별전은 별도 요금</x:v>
      </x:c>
    </x:row>
    <x:row r="84" ht="34" customHeight="1">
      <x:c r="A84" s="33" t="str">
        <x:v>TYO-SV-003</x:v>
      </x:c>
      <x:c r="B84" s="33" t="str">
        <x:v>일본</x:v>
      </x:c>
      <x:c r="C84" s="33" t="str">
        <x:v>도쿄</x:v>
      </x:c>
      <x:c r="D84" s="33" t="str">
        <x:v>기념품</x:v>
      </x:c>
      <x:c r="E84" s="33" t="str">
        <x:v>식품</x:v>
      </x:c>
      <x:c r="F84" s="22" t="str">
        <x:v>도쿄바나나 원더 초콜릿 샌드 12개</x:v>
      </x:c>
      <x:c r="G84" s="22" t="str">
        <x:v>Tokyo Banana Wonder Chocolate Sandwich Cookies 12 pcs</x:v>
      </x:c>
      <x:c r="H84" s="39" t="n">
        <x:v>1458</x:v>
      </x:c>
      <x:c r="I84" s="39" t="n">
        <x:v>1458</x:v>
      </x:c>
      <x:c r="J84" s="33" t="str">
        <x:v>JPY</x:v>
      </x:c>
      <x:c r="K84" s="33" t="str">
        <x:v>1상자</x:v>
      </x:c>
      <x:c r="L84" s="33" t="str">
        <x:v>재고형</x:v>
      </x:c>
      <x:c r="M84" s="33" t="str">
        <x:v>일반</x:v>
      </x:c>
      <x:c r="N84" s="33" t="str">
        <x:v>A 공식</x:v>
      </x:c>
      <x:c r="O84" s="33" t="str">
        <x:v>예</x:v>
      </x:c>
      <x:c r="P84" s="33" t="str">
        <x:v>확정 2차</x:v>
      </x:c>
      <x:c r="Q84" s="41" t="n">
        <x:v>46298</x:v>
      </x:c>
      <x:c r="R84" s="33" t="str">
        <x:v>2026</x:v>
      </x:c>
      <x:c r="S84" s="22" t="str">
        <x:v>Tokyo Banana</x:v>
      </x:c>
      <x:c r="T84" s="43" t="str">
        <x:v>https://www.tokyobanana.jp/language/en/products/80.html</x:v>
      </x:c>
      <x:c r="U84" s="22" t="str">
        <x:v>세금 포함; 오리지널 바나나 케이크와 다른 제품군</x:v>
      </x:c>
    </x:row>
    <x:row r="85" ht="34" customHeight="1">
      <x:c r="A85" s="32" t="str">
        <x:v>TYO-SV-004</x:v>
      </x:c>
      <x:c r="B85" s="32" t="str">
        <x:v>일본</x:v>
      </x:c>
      <x:c r="C85" s="32" t="str">
        <x:v>도쿄</x:v>
      </x:c>
      <x:c r="D85" s="32" t="str">
        <x:v>기념품</x:v>
      </x:c>
      <x:c r="E85" s="32" t="str">
        <x:v>식품</x:v>
      </x:c>
      <x:c r="F85" s="21" t="str">
        <x:v>포켓몬 도쿄바나나 초콜릿 쿠키 샌드 12개</x:v>
      </x:c>
      <x:c r="G85" s="21" t="str">
        <x:v>Pokemon Tokyo Banana Chocolate Cookie Sandwich 12 pcs</x:v>
      </x:c>
      <x:c r="H85" s="38" t="n">
        <x:v>1460</x:v>
      </x:c>
      <x:c r="I85" s="38" t="n">
        <x:v>1460</x:v>
      </x:c>
      <x:c r="J85" s="32" t="str">
        <x:v>JPY</x:v>
      </x:c>
      <x:c r="K85" s="32" t="str">
        <x:v>1상자</x:v>
      </x:c>
      <x:c r="L85" s="32" t="str">
        <x:v>재고형</x:v>
      </x:c>
      <x:c r="M85" s="32" t="str">
        <x:v>일반</x:v>
      </x:c>
      <x:c r="N85" s="32" t="str">
        <x:v>A 공식</x:v>
      </x:c>
      <x:c r="O85" s="32" t="str">
        <x:v>예</x:v>
      </x:c>
      <x:c r="P85" s="32" t="str">
        <x:v>확정 2차</x:v>
      </x:c>
      <x:c r="Q85" s="40" t="n">
        <x:v>46298</x:v>
      </x:c>
      <x:c r="R85" s="32" t="str">
        <x:v>2026</x:v>
      </x:c>
      <x:c r="S85" s="21" t="str">
        <x:v>Tokyo Banana</x:v>
      </x:c>
      <x:c r="T85" s="42" t="str">
        <x:v>https://www.tokyobanana.jp/language/en/products/72.html</x:v>
      </x:c>
      <x:c r="U85" s="21" t="str">
        <x:v>세금 포함; 별도 캐릭터 쿠키 제품</x:v>
      </x:c>
    </x:row>
    <x:row r="86" ht="34" customHeight="1">
      <x:c r="A86" s="33" t="str">
        <x:v>OSA-TR-003</x:v>
      </x:c>
      <x:c r="B86" s="33" t="str">
        <x:v>일본</x:v>
      </x:c>
      <x:c r="C86" s="33" t="str">
        <x:v>오사카</x:v>
      </x:c>
      <x:c r="D86" s="33" t="str">
        <x:v>교통</x:v>
      </x:c>
      <x:c r="E86" s="33" t="str">
        <x:v>지하철 1회권</x:v>
      </x:c>
      <x:c r="F86" s="22" t="str">
        <x:v>오사카 메트로 성인 1회 요금</x:v>
      </x:c>
      <x:c r="G86" s="22" t="str">
        <x:v>Osaka Metro Adult Single Fare</x:v>
      </x:c>
      <x:c r="H86" s="39" t="n">
        <x:v>190</x:v>
      </x:c>
      <x:c r="I86" s="39" t="n">
        <x:v>390</x:v>
      </x:c>
      <x:c r="J86" s="33" t="str">
        <x:v>JPY</x:v>
      </x:c>
      <x:c r="K86" s="33" t="str">
        <x:v>성인 1인 1회</x:v>
      </x:c>
      <x:c r="L86" s="33" t="str">
        <x:v>거리형</x:v>
      </x:c>
      <x:c r="M86" s="33" t="str">
        <x:v>일반</x:v>
      </x:c>
      <x:c r="N86" s="33" t="str">
        <x:v>A 공식</x:v>
      </x:c>
      <x:c r="O86" s="33" t="str">
        <x:v>예</x:v>
      </x:c>
      <x:c r="P86" s="33" t="str">
        <x:v>확정 2차</x:v>
      </x:c>
      <x:c r="Q86" s="41" t="d">
        <x:v>2026-10-02T00:00:00.000Z</x:v>
      </x:c>
      <x:c r="R86" s="33" t="str">
        <x:v>2026</x:v>
      </x:c>
      <x:c r="S86" s="22" t="str">
        <x:v>Osaka Metro</x:v>
      </x:c>
      <x:c r="T86" s="43" t="str">
        <x:v>https://subway.osakametro.co.jp/guide/fare/fare/price.php/1000</x:v>
      </x:c>
      <x:c r="U86" s="22" t="str">
        <x:v>구간 거리에 따른 성인 보통요금</x:v>
      </x:c>
    </x:row>
    <x:row r="87" ht="34" customHeight="1">
      <x:c r="A87" s="32" t="str">
        <x:v>OSA-TR-004</x:v>
      </x:c>
      <x:c r="B87" s="32" t="str">
        <x:v>일본</x:v>
      </x:c>
      <x:c r="C87" s="32" t="str">
        <x:v>오사카</x:v>
      </x:c>
      <x:c r="D87" s="32" t="str">
        <x:v>교통</x:v>
      </x:c>
      <x:c r="E87" s="32" t="str">
        <x:v>버스 1회권</x:v>
      </x:c>
      <x:c r="F87" s="21" t="str">
        <x:v>오사카 시티버스 성인 균일요금</x:v>
      </x:c>
      <x:c r="G87" s="21" t="str">
        <x:v>Osaka City Bus Adult Flat Fare</x:v>
      </x:c>
      <x:c r="H87" s="38" t="n">
        <x:v>210</x:v>
      </x:c>
      <x:c r="I87" s="38" t="n">
        <x:v>210</x:v>
      </x:c>
      <x:c r="J87" s="32" t="str">
        <x:v>JPY</x:v>
      </x:c>
      <x:c r="K87" s="32" t="str">
        <x:v>성인 1인 1회</x:v>
      </x:c>
      <x:c r="L87" s="32" t="str">
        <x:v>고정형</x:v>
      </x:c>
      <x:c r="M87" s="32" t="str">
        <x:v>일반</x:v>
      </x:c>
      <x:c r="N87" s="32" t="str">
        <x:v>A 공식</x:v>
      </x:c>
      <x:c r="O87" s="32" t="str">
        <x:v>예</x:v>
      </x:c>
      <x:c r="P87" s="32" t="str">
        <x:v>확정 2차</x:v>
      </x:c>
      <x:c r="Q87" s="40" t="d">
        <x:v>2026-10-02T00:00:00.000Z</x:v>
      </x:c>
      <x:c r="R87" s="32" t="str">
        <x:v>2026</x:v>
      </x:c>
      <x:c r="S87" s="21" t="str">
        <x:v>Osaka Metro City Bus</x:v>
      </x:c>
      <x:c r="T87" s="42" t="str">
        <x:v>https://bus.osakametro.co.jp/en/guide/fare/fare/price.php</x:v>
      </x:c>
      <x:c r="U87" s="21" t="str">
        <x:v>일반 노선 균일요금</x:v>
      </x:c>
    </x:row>
    <x:row r="88" ht="34" customHeight="1">
      <x:c r="A88" s="33" t="str">
        <x:v>OSA-TR-005</x:v>
      </x:c>
      <x:c r="B88" s="33" t="str">
        <x:v>일본</x:v>
      </x:c>
      <x:c r="C88" s="33" t="str">
        <x:v>오사카</x:v>
      </x:c>
      <x:c r="D88" s="33" t="str">
        <x:v>교통</x:v>
      </x:c>
      <x:c r="E88" s="33" t="str">
        <x:v>BRT 1회권</x:v>
      </x:c>
      <x:c r="F88" s="22" t="str">
        <x:v>이마자토 라이너 성인 균일요금</x:v>
      </x:c>
      <x:c r="G88" s="22" t="str">
        <x:v>Imazato Liner Adult Flat Fare</x:v>
      </x:c>
      <x:c r="H88" s="39" t="n">
        <x:v>210</x:v>
      </x:c>
      <x:c r="I88" s="39" t="n">
        <x:v>210</x:v>
      </x:c>
      <x:c r="J88" s="33" t="str">
        <x:v>JPY</x:v>
      </x:c>
      <x:c r="K88" s="33" t="str">
        <x:v>성인 1인 1회</x:v>
      </x:c>
      <x:c r="L88" s="33" t="str">
        <x:v>고정형</x:v>
      </x:c>
      <x:c r="M88" s="33" t="str">
        <x:v>일반</x:v>
      </x:c>
      <x:c r="N88" s="33" t="str">
        <x:v>A 공식</x:v>
      </x:c>
      <x:c r="O88" s="33" t="str">
        <x:v>예</x:v>
      </x:c>
      <x:c r="P88" s="33" t="str">
        <x:v>확정 2차</x:v>
      </x:c>
      <x:c r="Q88" s="41" t="d">
        <x:v>2026-10-02T00:00:00.000Z</x:v>
      </x:c>
      <x:c r="R88" s="33" t="str">
        <x:v>2026</x:v>
      </x:c>
      <x:c r="S88" s="22" t="str">
        <x:v>Osaka Metro Imazato Liner</x:v>
      </x:c>
      <x:c r="T88" s="43" t="str">
        <x:v>https://brt.osakametro.co.jp/en/guide/fare/fare/price.php</x:v>
      </x:c>
      <x:c r="U88" s="22" t="str">
        <x:v>BRT 일반 성인 요금</x:v>
      </x:c>
    </x:row>
    <x:row r="89" ht="34" customHeight="1">
      <x:c r="A89" s="32" t="str">
        <x:v>OSA-FD-003</x:v>
      </x:c>
      <x:c r="B89" s="32" t="str">
        <x:v>일본</x:v>
      </x:c>
      <x:c r="C89" s="32" t="str">
        <x:v>오사카</x:v>
      </x:c>
      <x:c r="D89" s="32" t="str">
        <x:v>외식</x:v>
      </x:c>
      <x:c r="E89" s="32" t="str">
        <x:v>저가 한끼</x:v>
      </x:c>
      <x:c r="F89" s="21" t="str">
        <x:v>마쓰야 규동 보통</x:v>
      </x:c>
      <x:c r="G89" s="21" t="str">
        <x:v>Matsuya Gyumeshi Regular</x:v>
      </x:c>
      <x:c r="H89" s="38" t="n">
        <x:v>460</x:v>
      </x:c>
      <x:c r="I89" s="38" t="n">
        <x:v>460</x:v>
      </x:c>
      <x:c r="J89" s="32" t="str">
        <x:v>JPY</x:v>
      </x:c>
      <x:c r="K89" s="32" t="str">
        <x:v>1그릇</x:v>
      </x:c>
      <x:c r="L89" s="32" t="str">
        <x:v>고정형</x:v>
      </x:c>
      <x:c r="M89" s="32" t="str">
        <x:v>일반</x:v>
      </x:c>
      <x:c r="N89" s="32" t="str">
        <x:v>A 공식</x:v>
      </x:c>
      <x:c r="O89" s="32" t="str">
        <x:v>예</x:v>
      </x:c>
      <x:c r="P89" s="32" t="str">
        <x:v>확정 2차</x:v>
      </x:c>
      <x:c r="Q89" s="40" t="n">
        <x:v>46298</x:v>
      </x:c>
      <x:c r="R89" s="32" t="str">
        <x:v>2026</x:v>
      </x:c>
      <x:c r="S89" s="21" t="str">
        <x:v>Matsuya</x:v>
      </x:c>
      <x:c r="T89" s="42" t="str">
        <x:v>https://www.matsuyafoods.co.jp/english/menu/gyumeshi/index.html</x:v>
      </x:c>
      <x:c r="U89" s="21" t="str">
        <x:v>일부 매장 가격 차이 가능</x:v>
      </x:c>
    </x:row>
    <x:row r="90" ht="34" customHeight="1">
      <x:c r="A90" s="33" t="str">
        <x:v>OSA-FD-004</x:v>
      </x:c>
      <x:c r="B90" s="33" t="str">
        <x:v>일본</x:v>
      </x:c>
      <x:c r="C90" s="33" t="str">
        <x:v>오사카</x:v>
      </x:c>
      <x:c r="D90" s="33" t="str">
        <x:v>외식</x:v>
      </x:c>
      <x:c r="E90" s="33" t="str">
        <x:v>중가 한끼</x:v>
      </x:c>
      <x:c r="F90" s="22" t="str">
        <x:v>치보 도톤보리야키</x:v>
      </x:c>
      <x:c r="G90" s="22" t="str">
        <x:v>Chibo Dotonboriyaki</x:v>
      </x:c>
      <x:c r="H90" s="39" t="n">
        <x:v>1480</x:v>
      </x:c>
      <x:c r="I90" s="39" t="n">
        <x:v>1480</x:v>
      </x:c>
      <x:c r="J90" s="33" t="str">
        <x:v>JPY</x:v>
      </x:c>
      <x:c r="K90" s="33" t="str">
        <x:v>1메뉴</x:v>
      </x:c>
      <x:c r="L90" s="33" t="str">
        <x:v>메뉴형</x:v>
      </x:c>
      <x:c r="M90" s="33" t="str">
        <x:v>일반</x:v>
      </x:c>
      <x:c r="N90" s="33" t="str">
        <x:v>A 공식</x:v>
      </x:c>
      <x:c r="O90" s="33" t="str">
        <x:v>예</x:v>
      </x:c>
      <x:c r="P90" s="33" t="str">
        <x:v>확정 2차</x:v>
      </x:c>
      <x:c r="Q90" s="41" t="n">
        <x:v>46298</x:v>
      </x:c>
      <x:c r="R90" s="33" t="str">
        <x:v>2026</x:v>
      </x:c>
      <x:c r="S90" s="22" t="str">
        <x:v>Chibo</x:v>
      </x:c>
      <x:c r="T90" s="43" t="str">
        <x:v>https://www.chibo.com/menu/</x:v>
      </x:c>
      <x:c r="U90" s="22" t="str">
        <x:v>공식 대표 메뉴 시작가; 지점별 차이 가능</x:v>
      </x:c>
    </x:row>
    <x:row r="91" ht="34" customHeight="1">
      <x:c r="A91" s="32" t="str">
        <x:v>OSA-SV-004</x:v>
      </x:c>
      <x:c r="B91" s="32" t="str">
        <x:v>일본</x:v>
      </x:c>
      <x:c r="C91" s="32" t="str">
        <x:v>오사카</x:v>
      </x:c>
      <x:c r="D91" s="32" t="str">
        <x:v>기념품</x:v>
      </x:c>
      <x:c r="E91" s="32" t="str">
        <x:v>식품</x:v>
      </x:c>
      <x:c r="F91" s="21" t="str">
        <x:v>551 호라이 새우 슈마이 12개</x:v>
      </x:c>
      <x:c r="G91" s="21" t="str">
        <x:v>551 HORAI Shrimp Shumai 12 pcs</x:v>
      </x:c>
      <x:c r="H91" s="38" t="n">
        <x:v>840</x:v>
      </x:c>
      <x:c r="I91" s="38" t="n">
        <x:v>840</x:v>
      </x:c>
      <x:c r="J91" s="32" t="str">
        <x:v>JPY</x:v>
      </x:c>
      <x:c r="K91" s="32" t="str">
        <x:v>1상자</x:v>
      </x:c>
      <x:c r="L91" s="32" t="str">
        <x:v>재고형</x:v>
      </x:c>
      <x:c r="M91" s="32" t="str">
        <x:v>일반</x:v>
      </x:c>
      <x:c r="N91" s="32" t="str">
        <x:v>A 공식</x:v>
      </x:c>
      <x:c r="O91" s="32" t="str">
        <x:v>예</x:v>
      </x:c>
      <x:c r="P91" s="32" t="str">
        <x:v>확정 2차</x:v>
      </x:c>
      <x:c r="Q91" s="40" t="n">
        <x:v>46298</x:v>
      </x:c>
      <x:c r="R91" s="32" t="str">
        <x:v>2026</x:v>
      </x:c>
      <x:c r="S91" s="21" t="str">
        <x:v>551 HORAI Official Shop</x:v>
      </x:c>
      <x:c r="T91" s="42" t="str">
        <x:v>https://shop-551horai.co.jp/shop/g/gH6120H/</x:v>
      </x:c>
      <x:c r="U91" s="21" t="str">
        <x:v>세금 포함; 돼지고기만두와 다른 제품군</x:v>
      </x:c>
    </x:row>
    <x:row r="92" ht="34" customHeight="1">
      <x:c r="A92" s="33" t="str">
        <x:v>BKK-TR-002</x:v>
      </x:c>
      <x:c r="B92" s="33" t="str">
        <x:v>태국</x:v>
      </x:c>
      <x:c r="C92" s="33" t="str">
        <x:v>방콕</x:v>
      </x:c>
      <x:c r="D92" s="33" t="str">
        <x:v>교통</x:v>
      </x:c>
      <x:c r="E92" s="33" t="str">
        <x:v>도시철도 1회권</x:v>
      </x:c>
      <x:c r="F92" s="22" t="str">
        <x:v>BTS 단일 여정 요금</x:v>
      </x:c>
      <x:c r="G92" s="22" t="str">
        <x:v>BTS Single Journey Fare</x:v>
      </x:c>
      <x:c r="H92" s="39" t="n">
        <x:v>17</x:v>
      </x:c>
      <x:c r="I92" s="39" t="n">
        <x:v>47</x:v>
      </x:c>
      <x:c r="J92" s="33" t="str">
        <x:v>THB</x:v>
      </x:c>
      <x:c r="K92" s="33" t="str">
        <x:v>성인 1인 1회</x:v>
      </x:c>
      <x:c r="L92" s="33" t="str">
        <x:v>거리형</x:v>
      </x:c>
      <x:c r="M92" s="33" t="str">
        <x:v>일반</x:v>
      </x:c>
      <x:c r="N92" s="33" t="str">
        <x:v>A 공식</x:v>
      </x:c>
      <x:c r="O92" s="33" t="str">
        <x:v>예</x:v>
      </x:c>
      <x:c r="P92" s="33" t="str">
        <x:v>확정 2차</x:v>
      </x:c>
      <x:c r="Q92" s="41" t="d">
        <x:v>2026-10-02T00:00:00.000Z</x:v>
      </x:c>
      <x:c r="R92" s="33" t="str">
        <x:v>2026</x:v>
      </x:c>
      <x:c r="S92" s="22" t="str">
        <x:v>BTS</x:v>
      </x:c>
      <x:c r="T92" s="43" t="str">
        <x:v>https://www.bts.co.th/eng/tickets/ticket-journey.html</x:v>
      </x:c>
      <x:c r="U92" s="22" t="str">
        <x:v>구간별 요금</x:v>
      </x:c>
    </x:row>
    <x:row r="93" ht="34" customHeight="1">
      <x:c r="A93" s="32" t="str">
        <x:v>BKK-TR-003</x:v>
      </x:c>
      <x:c r="B93" s="32" t="str">
        <x:v>태국</x:v>
      </x:c>
      <x:c r="C93" s="32" t="str">
        <x:v>방콕</x:v>
      </x:c>
      <x:c r="D93" s="32" t="str">
        <x:v>교통</x:v>
      </x:c>
      <x:c r="E93" s="32" t="str">
        <x:v>도시철도 1회권</x:v>
      </x:c>
      <x:c r="F93" s="21" t="str">
        <x:v>MRT 블루라인 단일 여정 요금</x:v>
      </x:c>
      <x:c r="G93" s="21" t="str">
        <x:v>MRT Blue Line Single Journey Fare</x:v>
      </x:c>
      <x:c r="H93" s="38" t="n">
        <x:v>17</x:v>
      </x:c>
      <x:c r="I93" s="38" t="n">
        <x:v>44</x:v>
      </x:c>
      <x:c r="J93" s="32" t="str">
        <x:v>THB</x:v>
      </x:c>
      <x:c r="K93" s="32" t="str">
        <x:v>성인 1인 1회</x:v>
      </x:c>
      <x:c r="L93" s="32" t="str">
        <x:v>거리형</x:v>
      </x:c>
      <x:c r="M93" s="32" t="str">
        <x:v>일반</x:v>
      </x:c>
      <x:c r="N93" s="32" t="str">
        <x:v>A 공식</x:v>
      </x:c>
      <x:c r="O93" s="32" t="str">
        <x:v>예</x:v>
      </x:c>
      <x:c r="P93" s="32" t="str">
        <x:v>확정 2차</x:v>
      </x:c>
      <x:c r="Q93" s="40" t="d">
        <x:v>2026-10-02T00:00:00.000Z</x:v>
      </x:c>
      <x:c r="R93" s="32" t="str">
        <x:v>2026</x:v>
      </x:c>
      <x:c r="S93" s="21" t="str">
        <x:v>Bangkok Expressway and Metro</x:v>
      </x:c>
      <x:c r="T93" s="42" t="str">
        <x:v>https://metro.bemplc.co.th/Metro-News-Detail.aspx?id=40995</x:v>
      </x:c>
      <x:c r="U93" s="21" t="str">
        <x:v>구간별 성인 요금</x:v>
      </x:c>
    </x:row>
    <x:row r="94" ht="34" customHeight="1">
      <x:c r="A94" s="33" t="str">
        <x:v>BKK-TR-004</x:v>
      </x:c>
      <x:c r="B94" s="33" t="str">
        <x:v>태국</x:v>
      </x:c>
      <x:c r="C94" s="33" t="str">
        <x:v>방콕</x:v>
      </x:c>
      <x:c r="D94" s="33" t="str">
        <x:v>교통</x:v>
      </x:c>
      <x:c r="E94" s="33" t="str">
        <x:v>통근철도 1회권</x:v>
      </x:c>
      <x:c r="F94" s="22" t="str">
        <x:v>레드라인 단일 여정 요금</x:v>
      </x:c>
      <x:c r="G94" s="22" t="str">
        <x:v>SRT Red Line Single Journey Fare</x:v>
      </x:c>
      <x:c r="H94" s="39" t="n">
        <x:v>12</x:v>
      </x:c>
      <x:c r="I94" s="39" t="n">
        <x:v>42</x:v>
      </x:c>
      <x:c r="J94" s="33" t="str">
        <x:v>THB</x:v>
      </x:c>
      <x:c r="K94" s="33" t="str">
        <x:v>성인 1인 1회</x:v>
      </x:c>
      <x:c r="L94" s="33" t="str">
        <x:v>거리형</x:v>
      </x:c>
      <x:c r="M94" s="33" t="str">
        <x:v>일반</x:v>
      </x:c>
      <x:c r="N94" s="33" t="str">
        <x:v>A 공식</x:v>
      </x:c>
      <x:c r="O94" s="33" t="str">
        <x:v>예</x:v>
      </x:c>
      <x:c r="P94" s="33" t="str">
        <x:v>확정 2차</x:v>
      </x:c>
      <x:c r="Q94" s="41" t="d">
        <x:v>2026-10-02T00:00:00.000Z</x:v>
      </x:c>
      <x:c r="R94" s="33" t="str">
        <x:v>2026</x:v>
      </x:c>
      <x:c r="S94" s="22" t="str">
        <x:v>SRT Electrified Train</x:v>
      </x:c>
      <x:c r="T94" s="43" t="str">
        <x:v>https://www.srtet.co.th/en/fare-timetable</x:v>
      </x:c>
      <x:c r="U94" s="22" t="str">
        <x:v>구간별 요금</x:v>
      </x:c>
    </x:row>
    <x:row r="95" ht="34" customHeight="1">
      <x:c r="A95" s="32" t="str">
        <x:v>BKK-AT-003</x:v>
      </x:c>
      <x:c r="B95" s="32" t="str">
        <x:v>태국</x:v>
      </x:c>
      <x:c r="C95" s="32" t="str">
        <x:v>방콕</x:v>
      </x:c>
      <x:c r="D95" s="32" t="str">
        <x:v>관광</x:v>
      </x:c>
      <x:c r="E95" s="32" t="str">
        <x:v>사원</x:v>
      </x:c>
      <x:c r="F95" s="21" t="str">
        <x:v>왓 포 외국인 입장권</x:v>
      </x:c>
      <x:c r="G95" s="21" t="str">
        <x:v>Wat Pho Foreign Visitor Admission</x:v>
      </x:c>
      <x:c r="H95" s="38" t="n">
        <x:v>300</x:v>
      </x:c>
      <x:c r="I95" s="38" t="n">
        <x:v>300</x:v>
      </x:c>
      <x:c r="J95" s="32" t="str">
        <x:v>THB</x:v>
      </x:c>
      <x:c r="K95" s="32" t="str">
        <x:v>외국인 1인</x:v>
      </x:c>
      <x:c r="L95" s="32" t="str">
        <x:v>고정형</x:v>
      </x:c>
      <x:c r="M95" s="32" t="str">
        <x:v>외국인</x:v>
      </x:c>
      <x:c r="N95" s="32" t="str">
        <x:v>A 공식</x:v>
      </x:c>
      <x:c r="O95" s="32" t="str">
        <x:v>예</x:v>
      </x:c>
      <x:c r="P95" s="32" t="str">
        <x:v>확정 2차</x:v>
      </x:c>
      <x:c r="Q95" s="40" t="d">
        <x:v>2026-10-02T00:00:00.000Z</x:v>
      </x:c>
      <x:c r="R95" s="32" t="str">
        <x:v>2026</x:v>
      </x:c>
      <x:c r="S95" s="21" t="str">
        <x:v>Wat Pho</x:v>
      </x:c>
      <x:c r="T95" s="42" t="str">
        <x:v>https://watpho.com/en/home</x:v>
      </x:c>
      <x:c r="U95" s="21" t="str">
        <x:v>공식 방문 안내 요금</x:v>
      </x:c>
    </x:row>
    <x:row r="96" ht="34" customHeight="1">
      <x:c r="A96" s="33" t="str">
        <x:v>BKK-SV-003</x:v>
      </x:c>
      <x:c r="B96" s="33" t="str">
        <x:v>태국</x:v>
      </x:c>
      <x:c r="C96" s="33" t="str">
        <x:v>방콕</x:v>
      </x:c>
      <x:c r="D96" s="33" t="str">
        <x:v>기념품</x:v>
      </x:c>
      <x:c r="E96" s="33" t="str">
        <x:v>패션</x:v>
      </x:c>
      <x:c r="F96" s="22" t="str">
        <x:v>짐 톰슨 포니테일 밴드</x:v>
      </x:c>
      <x:c r="G96" s="22" t="str">
        <x:v>Jim Thompson Ponytail Band</x:v>
      </x:c>
      <x:c r="H96" s="39" t="n">
        <x:v>790</x:v>
      </x:c>
      <x:c r="I96" s="39" t="n">
        <x:v>790</x:v>
      </x:c>
      <x:c r="J96" s="33" t="str">
        <x:v>THB</x:v>
      </x:c>
      <x:c r="K96" s="33" t="str">
        <x:v>1개</x:v>
      </x:c>
      <x:c r="L96" s="33" t="str">
        <x:v>재고형</x:v>
      </x:c>
      <x:c r="M96" s="33" t="str">
        <x:v>일반</x:v>
      </x:c>
      <x:c r="N96" s="33" t="str">
        <x:v>D 보류</x:v>
      </x:c>
      <x:c r="O96" s="33" t="str">
        <x:v>아니오</x:v>
      </x:c>
      <x:c r="P96" s="33" t="str">
        <x:v>보류</x:v>
      </x:c>
      <x:c r="Q96" s="41" t="n">
        <x:v>46298</x:v>
      </x:c>
      <x:c r="R96" s="33" t="str">
        <x:v>2026</x:v>
      </x:c>
      <x:c r="S96" s="22" t="str">
        <x:v>Jim Thompson</x:v>
      </x:c>
      <x:c r="T96" s="43" t="str">
        <x:v>https://www.jimthompson.com/collections/gifting-small-accessories</x:v>
      </x:c>
      <x:c r="U96" s="22" t="str">
        <x:v>v0.4 보류: 기존 790–790 THB는 공식 가격으로 확인되지 않아 계산에서 제외. 공식 액세서리 분류 페이지에서 현재 판매 중인 같은 제품과 가격을 확인하지 못함.</x:v>
      </x:c>
    </x:row>
    <x:row r="97" ht="34" customHeight="1">
      <x:c r="A97" s="32" t="str">
        <x:v>DAD-TR-005</x:v>
      </x:c>
      <x:c r="B97" s="32" t="str">
        <x:v>베트남</x:v>
      </x:c>
      <x:c r="C97" s="32" t="str">
        <x:v>다낭</x:v>
      </x:c>
      <x:c r="D97" s="32" t="str">
        <x:v>교통</x:v>
      </x:c>
      <x:c r="E97" s="32" t="str">
        <x:v>시내버스 1회권</x:v>
      </x:c>
      <x:c r="F97" s="21" t="str">
        <x:v>다낭 보조금 시내버스 일반요금</x:v>
      </x:c>
      <x:c r="G97" s="21" t="str">
        <x:v>Da Nang Subsidized City Bus Fare</x:v>
      </x:c>
      <x:c r="H97" s="38" t="n">
        <x:v>8000</x:v>
      </x:c>
      <x:c r="I97" s="38" t="n">
        <x:v>8000</x:v>
      </x:c>
      <x:c r="J97" s="32" t="str">
        <x:v>VND</x:v>
      </x:c>
      <x:c r="K97" s="32" t="str">
        <x:v>성인 1인 1회</x:v>
      </x:c>
      <x:c r="L97" s="32" t="str">
        <x:v>고정형</x:v>
      </x:c>
      <x:c r="M97" s="32" t="str">
        <x:v>일반</x:v>
      </x:c>
      <x:c r="N97" s="32" t="str">
        <x:v>A 공식</x:v>
      </x:c>
      <x:c r="O97" s="32" t="str">
        <x:v>예</x:v>
      </x:c>
      <x:c r="P97" s="32" t="str">
        <x:v>확정 2차</x:v>
      </x:c>
      <x:c r="Q97" s="40" t="d">
        <x:v>2026-10-02T00:00:00.000Z</x:v>
      </x:c>
      <x:c r="R97" s="32" t="str">
        <x:v>2026</x:v>
      </x:c>
      <x:c r="S97" s="21" t="str">
        <x:v>Danabus</x:v>
      </x:c>
      <x:c r="T97" s="42" t="str">
        <x:v>https://www.danangbus.vn/tin-tuc/tin-tuc/he-thong-xe-buyt-tro-gia-da-nang-gia-ve-sieu-re-phu-song-tien-ich-5683.html</x:v>
      </x:c>
      <x:c r="U97" s="21" t="str">
        <x:v>공식 버스 운영정보</x:v>
      </x:c>
    </x:row>
    <x:row r="98" ht="34" customHeight="1">
      <x:c r="A98" s="33" t="str">
        <x:v>DAD-TR-006</x:v>
      </x:c>
      <x:c r="B98" s="33" t="str">
        <x:v>베트남</x:v>
      </x:c>
      <x:c r="C98" s="33" t="str">
        <x:v>다낭</x:v>
      </x:c>
      <x:c r="D98" s="33" t="str">
        <x:v>교통</x:v>
      </x:c>
      <x:c r="E98" s="33" t="str">
        <x:v>공항버스 1회권</x:v>
      </x:c>
      <x:c r="F98" s="22" t="str">
        <x:v>다낭 공항-베트남한대 06번 버스</x:v>
      </x:c>
      <x:c r="G98" s="22" t="str">
        <x:v>Da Nang Airport–VKU Bus Route 06</x:v>
      </x:c>
      <x:c r="H98" s="39" t="n">
        <x:v>15000</x:v>
      </x:c>
      <x:c r="I98" s="39" t="n">
        <x:v>30000</x:v>
      </x:c>
      <x:c r="J98" s="33" t="str">
        <x:v>VND</x:v>
      </x:c>
      <x:c r="K98" s="33" t="str">
        <x:v>성인 1인 1회</x:v>
      </x:c>
      <x:c r="L98" s="33" t="str">
        <x:v>구간형</x:v>
      </x:c>
      <x:c r="M98" s="33" t="str">
        <x:v>일반</x:v>
      </x:c>
      <x:c r="N98" s="33" t="str">
        <x:v>A 공식</x:v>
      </x:c>
      <x:c r="O98" s="33" t="str">
        <x:v>예</x:v>
      </x:c>
      <x:c r="P98" s="33" t="str">
        <x:v>확정 2차</x:v>
      </x:c>
      <x:c r="Q98" s="41" t="d">
        <x:v>2026-10-02T00:00:00.000Z</x:v>
      </x:c>
      <x:c r="R98" s="33" t="str">
        <x:v>2026</x:v>
      </x:c>
      <x:c r="S98" s="22" t="str">
        <x:v>Danabus</x:v>
      </x:c>
      <x:c r="T98" s="43" t="str">
        <x:v>https://www.danangbus.vn/tin-tuc/tin-tuc/thong-bao-ve-viec-mo-tuyen-xe-buyt-so-06-san-bay-da-nang--dai-hoc-viet-han-5582.html</x:v>
      </x:c>
      <x:c r="U98" s="22" t="str">
        <x:v>이동거리 구간별 요금</x:v>
      </x:c>
    </x:row>
    <x:row r="99" ht="34" customHeight="1">
      <x:c r="A99" s="32" t="str">
        <x:v>DAD-TR-007</x:v>
      </x:c>
      <x:c r="B99" s="32" t="str">
        <x:v>베트남</x:v>
      </x:c>
      <x:c r="C99" s="32" t="str">
        <x:v>다낭</x:v>
      </x:c>
      <x:c r="D99" s="32" t="str">
        <x:v>교통</x:v>
      </x:c>
      <x:c r="E99" s="32" t="str">
        <x:v>관광버스 1회권</x:v>
      </x:c>
      <x:c r="F99" s="21" t="str">
        <x:v>다낭 공항-바나힐 03번 버스</x:v>
      </x:c>
      <x:c r="G99" s="21" t="str">
        <x:v>Da Nang Airport–Ba Na Hills Bus Route 03</x:v>
      </x:c>
      <x:c r="H99" s="38" t="n">
        <x:v>15000</x:v>
      </x:c>
      <x:c r="I99" s="38" t="n">
        <x:v>30000</x:v>
      </x:c>
      <x:c r="J99" s="32" t="str">
        <x:v>VND</x:v>
      </x:c>
      <x:c r="K99" s="32" t="str">
        <x:v>성인 1인 1회</x:v>
      </x:c>
      <x:c r="L99" s="32" t="str">
        <x:v>구간형</x:v>
      </x:c>
      <x:c r="M99" s="32" t="str">
        <x:v>일반</x:v>
      </x:c>
      <x:c r="N99" s="32" t="str">
        <x:v>A 공식</x:v>
      </x:c>
      <x:c r="O99" s="32" t="str">
        <x:v>예</x:v>
      </x:c>
      <x:c r="P99" s="32" t="str">
        <x:v>확정 2차</x:v>
      </x:c>
      <x:c r="Q99" s="40" t="d">
        <x:v>2026-10-02T00:00:00.000Z</x:v>
      </x:c>
      <x:c r="R99" s="32" t="str">
        <x:v>2026</x:v>
      </x:c>
      <x:c r="S99" s="21" t="str">
        <x:v>Danabus</x:v>
      </x:c>
      <x:c r="T99" s="42" t="str">
        <x:v>https://www.danangbus.vn/tin-tuc/tin-tuc/cung-danabus-du-lich-ba-na-hills-5445.html</x:v>
      </x:c>
      <x:c r="U99" s="21" t="str">
        <x:v>이동거리 구간별 편도요금</x:v>
      </x:c>
    </x:row>
    <x:row r="100" ht="34" customHeight="1">
      <x:c r="A100" s="33" t="str">
        <x:v>DAD-FD-004</x:v>
      </x:c>
      <x:c r="B100" s="33" t="str">
        <x:v>베트남</x:v>
      </x:c>
      <x:c r="C100" s="33" t="str">
        <x:v>다낭</x:v>
      </x:c>
      <x:c r="D100" s="33" t="str">
        <x:v>외식</x:v>
      </x:c>
      <x:c r="E100" s="33" t="str">
        <x:v>저가 한끼</x:v>
      </x:c>
      <x:c r="F100" s="22" t="str">
        <x:v>미꽝 바무아 소고기 미꽝</x:v>
      </x:c>
      <x:c r="G100" s="22" t="str">
        <x:v>Mi Quang Ba Mua Beef Mi Quang</x:v>
      </x:c>
      <x:c r="H100" s="39" t="n">
        <x:v>50000</x:v>
      </x:c>
      <x:c r="I100" s="39" t="n">
        <x:v>50000</x:v>
      </x:c>
      <x:c r="J100" s="33" t="str">
        <x:v>VND</x:v>
      </x:c>
      <x:c r="K100" s="33" t="str">
        <x:v>1그릇</x:v>
      </x:c>
      <x:c r="L100" s="33" t="str">
        <x:v>메뉴형</x:v>
      </x:c>
      <x:c r="M100" s="33" t="str">
        <x:v>일반</x:v>
      </x:c>
      <x:c r="N100" s="33" t="str">
        <x:v>A 공식</x:v>
      </x:c>
      <x:c r="O100" s="33" t="str">
        <x:v>예</x:v>
      </x:c>
      <x:c r="P100" s="33" t="str">
        <x:v>확정 2차</x:v>
      </x:c>
      <x:c r="Q100" s="41" t="d">
        <x:v>2026-10-02T00:00:00.000Z</x:v>
      </x:c>
      <x:c r="R100" s="33" t="str">
        <x:v>2026</x:v>
      </x:c>
      <x:c r="S100" s="22" t="str">
        <x:v>Mi Quang Ba Mua</x:v>
      </x:c>
      <x:c r="T100" s="43" t="str">
        <x:v>https://myquangbamua.com.vn/thuc-don/</x:v>
      </x:c>
      <x:c r="U100" s="22" t="str">
        <x:v>지점별 5,000~10,000동 차이 가능</x:v>
      </x:c>
    </x:row>
    <x:row r="101" ht="34" customHeight="1">
      <x:c r="A101" s="32" t="str">
        <x:v>DAD-SV-001</x:v>
      </x:c>
      <x:c r="B101" s="32" t="str">
        <x:v>베트남</x:v>
      </x:c>
      <x:c r="C101" s="32" t="str">
        <x:v>다낭</x:v>
      </x:c>
      <x:c r="D101" s="32" t="str">
        <x:v>기념품</x:v>
      </x:c>
      <x:c r="E101" s="32" t="str">
        <x:v>식품</x:v>
      </x:c>
      <x:c r="F101" s="21" t="str">
        <x:v>페바 초콜릿 6개 상자</x:v>
      </x:c>
      <x:c r="G101" s="21" t="str">
        <x:v>Pheva 6-Chocolate Box</x:v>
      </x:c>
      <x:c r="H101" s="38" t="n">
        <x:v>64800</x:v>
      </x:c>
      <x:c r="I101" s="38" t="n">
        <x:v>64800</x:v>
      </x:c>
      <x:c r="J101" s="32" t="str">
        <x:v>VND</x:v>
      </x:c>
      <x:c r="K101" s="32" t="str">
        <x:v>1상자</x:v>
      </x:c>
      <x:c r="L101" s="32" t="str">
        <x:v>재고형</x:v>
      </x:c>
      <x:c r="M101" s="32" t="str">
        <x:v>일반</x:v>
      </x:c>
      <x:c r="N101" s="32" t="str">
        <x:v>A 공식</x:v>
      </x:c>
      <x:c r="O101" s="32" t="str">
        <x:v>예</x:v>
      </x:c>
      <x:c r="P101" s="32" t="str">
        <x:v>확정 2차</x:v>
      </x:c>
      <x:c r="Q101" s="40" t="n">
        <x:v>46298</x:v>
      </x:c>
      <x:c r="R101" s="32" t="str">
        <x:v>2026</x:v>
      </x:c>
      <x:c r="S101" s="21" t="str">
        <x:v>Pheva Chocolate</x:v>
      </x:c>
      <x:c r="T101" s="42" t="str">
        <x:v>https://phevaworld.com/shop/</x:v>
      </x:c>
      <x:c r="U101" s="21" t="str">
        <x:v>공식 온라인 숍 가격</x:v>
      </x:c>
    </x:row>
    <x:row r="102" ht="34" customHeight="1">
      <x:c r="A102" s="33" t="str">
        <x:v>DAD-SV-002</x:v>
      </x:c>
      <x:c r="B102" s="33" t="str">
        <x:v>베트남</x:v>
      </x:c>
      <x:c r="C102" s="33" t="str">
        <x:v>다낭</x:v>
      </x:c>
      <x:c r="D102" s="33" t="str">
        <x:v>기념품</x:v>
      </x:c>
      <x:c r="E102" s="33" t="str">
        <x:v>식품</x:v>
      </x:c>
      <x:c r="F102" s="22" t="str">
        <x:v>페바 하트 캐슈넛 초콜릿 64g</x:v>
      </x:c>
      <x:c r="G102" s="22" t="str">
        <x:v>Pheva Cashew Nuts Hearts 64g</x:v>
      </x:c>
      <x:c r="H102" s="39" t="n">
        <x:v>108000</x:v>
      </x:c>
      <x:c r="I102" s="39" t="n">
        <x:v>108000</x:v>
      </x:c>
      <x:c r="J102" s="33" t="str">
        <x:v>VND</x:v>
      </x:c>
      <x:c r="K102" s="33" t="str">
        <x:v>1상자</x:v>
      </x:c>
      <x:c r="L102" s="33" t="str">
        <x:v>재고형</x:v>
      </x:c>
      <x:c r="M102" s="33" t="str">
        <x:v>일반</x:v>
      </x:c>
      <x:c r="N102" s="33" t="str">
        <x:v>A 공식</x:v>
      </x:c>
      <x:c r="O102" s="33" t="str">
        <x:v>예</x:v>
      </x:c>
      <x:c r="P102" s="33" t="str">
        <x:v>확정 2차</x:v>
      </x:c>
      <x:c r="Q102" s="41" t="n">
        <x:v>46298</x:v>
      </x:c>
      <x:c r="R102" s="33" t="str">
        <x:v>2026</x:v>
      </x:c>
      <x:c r="S102" s="22" t="str">
        <x:v>Pheva Chocolate</x:v>
      </x:c>
      <x:c r="T102" s="43" t="str">
        <x:v>https://phevaworld.com/shop/</x:v>
      </x:c>
      <x:c r="U102" s="22" t="str">
        <x:v>공식 온라인 숍 가격</x:v>
      </x:c>
    </x:row>
    <x:row r="103" ht="34" customHeight="1">
      <x:c r="A103" s="32" t="str">
        <x:v>DAD-SV-003</x:v>
      </x:c>
      <x:c r="B103" s="32" t="str">
        <x:v>베트남</x:v>
      </x:c>
      <x:c r="C103" s="32" t="str">
        <x:v>다낭</x:v>
      </x:c>
      <x:c r="D103" s="32" t="str">
        <x:v>기념품</x:v>
      </x:c>
      <x:c r="E103" s="32" t="str">
        <x:v>식품</x:v>
      </x:c>
      <x:c r="F103" s="21" t="str">
        <x:v>페바 딸기 초콜릿 바 35g</x:v>
      </x:c>
      <x:c r="G103" s="21" t="str">
        <x:v>Pheva Strawberry Chocolate Bar 35g</x:v>
      </x:c>
      <x:c r="H103" s="38" t="n">
        <x:v>59400</x:v>
      </x:c>
      <x:c r="I103" s="38" t="n">
        <x:v>59400</x:v>
      </x:c>
      <x:c r="J103" s="32" t="str">
        <x:v>VND</x:v>
      </x:c>
      <x:c r="K103" s="32" t="str">
        <x:v>1개</x:v>
      </x:c>
      <x:c r="L103" s="32" t="str">
        <x:v>재고형</x:v>
      </x:c>
      <x:c r="M103" s="32" t="str">
        <x:v>일반</x:v>
      </x:c>
      <x:c r="N103" s="32" t="str">
        <x:v>A 공식</x:v>
      </x:c>
      <x:c r="O103" s="32" t="str">
        <x:v>예</x:v>
      </x:c>
      <x:c r="P103" s="32" t="str">
        <x:v>확정 2차</x:v>
      </x:c>
      <x:c r="Q103" s="40" t="n">
        <x:v>46298</x:v>
      </x:c>
      <x:c r="R103" s="32" t="str">
        <x:v>2026</x:v>
      </x:c>
      <x:c r="S103" s="21" t="str">
        <x:v>Pheva Chocolate</x:v>
      </x:c>
      <x:c r="T103" s="42" t="str">
        <x:v>https://phevaworld.com/shop/</x:v>
      </x:c>
      <x:c r="U103" s="21" t="str">
        <x:v>공식 온라인 숍 가격</x:v>
      </x:c>
    </x:row>
    <x:row r="104" ht="34" customHeight="1">
      <x:c r="A104" s="33" t="str">
        <x:v>TPE-AT-003</x:v>
      </x:c>
      <x:c r="B104" s="33" t="str">
        <x:v>대만</x:v>
      </x:c>
      <x:c r="C104" s="33" t="str">
        <x:v>타이베이</x:v>
      </x:c>
      <x:c r="D104" s="33" t="str">
        <x:v>관광</x:v>
      </x:c>
      <x:c r="E104" s="33" t="str">
        <x:v>동물원</x:v>
      </x:c>
      <x:c r="F104" s="22" t="str">
        <x:v>타이베이 동물원 일반 입장권</x:v>
      </x:c>
      <x:c r="G104" s="22" t="str">
        <x:v>Taipei Zoo General Admission</x:v>
      </x:c>
      <x:c r="H104" s="39" t="n">
        <x:v>100</x:v>
      </x:c>
      <x:c r="I104" s="39" t="n">
        <x:v>100</x:v>
      </x:c>
      <x:c r="J104" s="33" t="str">
        <x:v>TWD</x:v>
      </x:c>
      <x:c r="K104" s="33" t="str">
        <x:v>일반 1인</x:v>
      </x:c>
      <x:c r="L104" s="33" t="str">
        <x:v>고정형</x:v>
      </x:c>
      <x:c r="M104" s="33" t="str">
        <x:v>일반</x:v>
      </x:c>
      <x:c r="N104" s="33" t="str">
        <x:v>A 공식</x:v>
      </x:c>
      <x:c r="O104" s="33" t="str">
        <x:v>예</x:v>
      </x:c>
      <x:c r="P104" s="33" t="str">
        <x:v>확정 2차</x:v>
      </x:c>
      <x:c r="Q104" s="41" t="d">
        <x:v>2026-10-02T00:00:00.000Z</x:v>
      </x:c>
      <x:c r="R104" s="33" t="str">
        <x:v>2026</x:v>
      </x:c>
      <x:c r="S104" s="22" t="str">
        <x:v>Taipei Zoo</x:v>
      </x:c>
      <x:c r="T104" s="43" t="str">
        <x:v>https://english.zoo.gov.taipei/cp.aspx?n=8ED5B9F3BA1D301D</x:v>
      </x:c>
      <x:c r="U104" s="22" t="str">
        <x:v>공식 일반요금</x:v>
      </x:c>
    </x:row>
    <x:row r="105" ht="34" customHeight="1">
      <x:c r="A105" s="32" t="str">
        <x:v>TPE-FD-003</x:v>
      </x:c>
      <x:c r="B105" s="32" t="str">
        <x:v>대만</x:v>
      </x:c>
      <x:c r="C105" s="32" t="str">
        <x:v>타이베이</x:v>
      </x:c>
      <x:c r="D105" s="32" t="str">
        <x:v>외식</x:v>
      </x:c>
      <x:c r="E105" s="32" t="str">
        <x:v>중가 한끼</x:v>
      </x:c>
      <x:c r="F105" s="21" t="str">
        <x:v>핀촨란 칼집 스테이크 우육면</x:v>
      </x:c>
      <x:c r="G105" s="21" t="str">
        <x:v>Pin Chuan Lan Blade Steak Beef Noodle Soup</x:v>
      </x:c>
      <x:c r="H105" s="38" t="n">
        <x:v>260</x:v>
      </x:c>
      <x:c r="I105" s="38" t="n">
        <x:v>260</x:v>
      </x:c>
      <x:c r="J105" s="32" t="str">
        <x:v>TWD</x:v>
      </x:c>
      <x:c r="K105" s="32" t="str">
        <x:v>1그릇</x:v>
      </x:c>
      <x:c r="L105" s="32" t="str">
        <x:v>메뉴형</x:v>
      </x:c>
      <x:c r="M105" s="32" t="str">
        <x:v>일반</x:v>
      </x:c>
      <x:c r="N105" s="32" t="str">
        <x:v>A 공식</x:v>
      </x:c>
      <x:c r="O105" s="32" t="str">
        <x:v>예</x:v>
      </x:c>
      <x:c r="P105" s="32" t="str">
        <x:v>확정 2차</x:v>
      </x:c>
      <x:c r="Q105" s="40" t="d">
        <x:v>2026-10-02T00:00:00.000Z</x:v>
      </x:c>
      <x:c r="R105" s="32" t="str">
        <x:v>2026</x:v>
      </x:c>
      <x:c r="S105" s="21" t="str">
        <x:v>Pin Chuan Lan</x:v>
      </x:c>
      <x:c r="T105" s="42" t="str">
        <x:v>https://www.pinchuanlan.com.tw/Menus?lg=en</x:v>
      </x:c>
      <x:c r="U105" s="21" t="str">
        <x:v>공식 메뉴 가격</x:v>
      </x:c>
    </x:row>
    <x:row r="106" ht="34" customHeight="1">
      <x:c r="A106" s="33" t="str">
        <x:v>TPE-SV-003</x:v>
      </x:c>
      <x:c r="B106" s="33" t="str">
        <x:v>대만</x:v>
      </x:c>
      <x:c r="C106" s="33" t="str">
        <x:v>타이베이</x:v>
      </x:c>
      <x:c r="D106" s="33" t="str">
        <x:v>기념품</x:v>
      </x:c>
      <x:c r="E106" s="33" t="str">
        <x:v>식품</x:v>
      </x:c>
      <x:c r="F106" s="22" t="str">
        <x:v>써니힐스 바나나 쿠키 12개</x:v>
      </x:c>
      <x:c r="G106" s="22" t="str">
        <x:v>SunnyHills Banana Cookies 12 pcs</x:v>
      </x:c>
      <x:c r="H106" s="39" t="n">
        <x:v>520</x:v>
      </x:c>
      <x:c r="I106" s="39" t="n">
        <x:v>520</x:v>
      </x:c>
      <x:c r="J106" s="33" t="str">
        <x:v>TWD</x:v>
      </x:c>
      <x:c r="K106" s="33" t="str">
        <x:v>1상자</x:v>
      </x:c>
      <x:c r="L106" s="33" t="str">
        <x:v>재고형</x:v>
      </x:c>
      <x:c r="M106" s="33" t="str">
        <x:v>일반</x:v>
      </x:c>
      <x:c r="N106" s="33" t="str">
        <x:v>A 공식</x:v>
      </x:c>
      <x:c r="O106" s="33" t="str">
        <x:v>예</x:v>
      </x:c>
      <x:c r="P106" s="33" t="str">
        <x:v>확정 2차</x:v>
      </x:c>
      <x:c r="Q106" s="41" t="n">
        <x:v>46298</x:v>
      </x:c>
      <x:c r="R106" s="33" t="str">
        <x:v>2026</x:v>
      </x:c>
      <x:c r="S106" s="22" t="str">
        <x:v>SunnyHills</x:v>
      </x:c>
      <x:c r="T106" s="43" t="str">
        <x:v>https://shop.sunnyhills.com.tw/</x:v>
      </x:c>
      <x:c r="U106" s="22" t="str">
        <x:v>공식 온라인 숍 가격</x:v>
      </x:c>
    </x:row>
    <x:row r="107" ht="34" customHeight="1">
      <x:c r="A107" s="32" t="str">
        <x:v>TPE-SV-004</x:v>
      </x:c>
      <x:c r="B107" s="32" t="str">
        <x:v>대만</x:v>
      </x:c>
      <x:c r="C107" s="32" t="str">
        <x:v>타이베이</x:v>
      </x:c>
      <x:c r="D107" s="32" t="str">
        <x:v>기념품</x:v>
      </x:c>
      <x:c r="E107" s="32" t="str">
        <x:v>음료</x:v>
      </x:c>
      <x:c r="F107" s="21" t="str">
        <x:v>써니힐스 파인애플 주스 4병</x:v>
      </x:c>
      <x:c r="G107" s="21" t="str">
        <x:v>SunnyHills Pineapple Juice 4 Bottles</x:v>
      </x:c>
      <x:c r="H107" s="38" t="n">
        <x:v>600</x:v>
      </x:c>
      <x:c r="I107" s="38" t="n">
        <x:v>600</x:v>
      </x:c>
      <x:c r="J107" s="32" t="str">
        <x:v>TWD</x:v>
      </x:c>
      <x:c r="K107" s="32" t="str">
        <x:v>1상자</x:v>
      </x:c>
      <x:c r="L107" s="32" t="str">
        <x:v>재고형</x:v>
      </x:c>
      <x:c r="M107" s="32" t="str">
        <x:v>일반</x:v>
      </x:c>
      <x:c r="N107" s="32" t="str">
        <x:v>A 공식</x:v>
      </x:c>
      <x:c r="O107" s="32" t="str">
        <x:v>예</x:v>
      </x:c>
      <x:c r="P107" s="32" t="str">
        <x:v>확정 2차</x:v>
      </x:c>
      <x:c r="Q107" s="40" t="n">
        <x:v>46298</x:v>
      </x:c>
      <x:c r="R107" s="32" t="str">
        <x:v>2026</x:v>
      </x:c>
      <x:c r="S107" s="21" t="str">
        <x:v>SunnyHills</x:v>
      </x:c>
      <x:c r="T107" s="42" t="str">
        <x:v>https://shop.sunnyhills.com.tw/</x:v>
      </x:c>
      <x:c r="U107" s="21" t="str">
        <x:v>공식 온라인 숍 가격</x:v>
      </x:c>
    </x:row>
    <x:row r="108" ht="34" customHeight="1">
      <x:c r="A108" s="33" t="str">
        <x:v>SIN-TR-002</x:v>
      </x:c>
      <x:c r="B108" s="33" t="str">
        <x:v>싱가포르</x:v>
      </x:c>
      <x:c r="C108" s="33" t="str">
        <x:v>싱가포르</x:v>
      </x:c>
      <x:c r="D108" s="33" t="str">
        <x:v>교통</x:v>
      </x:c>
      <x:c r="E108" s="33" t="str">
        <x:v>버스 1회권</x:v>
      </x:c>
      <x:c r="F108" s="22" t="str">
        <x:v>기본 버스 카드 성인 요금</x:v>
      </x:c>
      <x:c r="G108" s="22" t="str">
        <x:v>Basic Bus Adult Card Fare</x:v>
      </x:c>
      <x:c r="H108" s="39" t="n">
        <x:v>1.28</x:v>
      </x:c>
      <x:c r="I108" s="39" t="n">
        <x:v>2.57</x:v>
      </x:c>
      <x:c r="J108" s="33" t="str">
        <x:v>SGD</x:v>
      </x:c>
      <x:c r="K108" s="33" t="str">
        <x:v>성인 1인 1회</x:v>
      </x:c>
      <x:c r="L108" s="33" t="str">
        <x:v>거리형</x:v>
      </x:c>
      <x:c r="M108" s="33" t="str">
        <x:v>일반</x:v>
      </x:c>
      <x:c r="N108" s="33" t="str">
        <x:v>A 공식</x:v>
      </x:c>
      <x:c r="O108" s="33" t="str">
        <x:v>예</x:v>
      </x:c>
      <x:c r="P108" s="33" t="str">
        <x:v>확정 2차</x:v>
      </x:c>
      <x:c r="Q108" s="41" t="n">
        <x:v>46298</x:v>
      </x:c>
      <x:c r="R108" s="33" t="str">
        <x:v>2026</x:v>
      </x:c>
      <x:c r="S108" s="22" t="str">
        <x:v>Public Transport Council</x:v>
      </x:c>
      <x:c r="T108" s="43" t="str">
        <x:v>https://www.ptc.gov.sg/fares/public-transport-fares-and-passes/</x:v>
      </x:c>
      <x:c r="U108" s="22" t="str">
        <x:v>카드 결제 거리별 현행 요금</x:v>
      </x:c>
    </x:row>
    <x:row r="109" ht="34" customHeight="1">
      <x:c r="A109" s="32" t="str">
        <x:v>SIN-TR-003</x:v>
      </x:c>
      <x:c r="B109" s="32" t="str">
        <x:v>싱가포르</x:v>
      </x:c>
      <x:c r="C109" s="32" t="str">
        <x:v>싱가포르</x:v>
      </x:c>
      <x:c r="D109" s="32" t="str">
        <x:v>교통</x:v>
      </x:c>
      <x:c r="E109" s="32" t="str">
        <x:v>도시철도 1회권</x:v>
      </x:c>
      <x:c r="F109" s="21" t="str">
        <x:v>MRT/LRT 카드 성인 요금</x:v>
      </x:c>
      <x:c r="G109" s="21" t="str">
        <x:v>MRT/LRT Adult Card Fare</x:v>
      </x:c>
      <x:c r="H109" s="38" t="n">
        <x:v>1.28</x:v>
      </x:c>
      <x:c r="I109" s="38" t="n">
        <x:v>2.57</x:v>
      </x:c>
      <x:c r="J109" s="32" t="str">
        <x:v>SGD</x:v>
      </x:c>
      <x:c r="K109" s="32" t="str">
        <x:v>성인 1인 1회</x:v>
      </x:c>
      <x:c r="L109" s="32" t="str">
        <x:v>거리형</x:v>
      </x:c>
      <x:c r="M109" s="32" t="str">
        <x:v>일반</x:v>
      </x:c>
      <x:c r="N109" s="32" t="str">
        <x:v>A 공식</x:v>
      </x:c>
      <x:c r="O109" s="32" t="str">
        <x:v>예</x:v>
      </x:c>
      <x:c r="P109" s="32" t="str">
        <x:v>확정 2차</x:v>
      </x:c>
      <x:c r="Q109" s="40" t="n">
        <x:v>46298</x:v>
      </x:c>
      <x:c r="R109" s="32" t="str">
        <x:v>2026</x:v>
      </x:c>
      <x:c r="S109" s="21" t="str">
        <x:v>Public Transport Council</x:v>
      </x:c>
      <x:c r="T109" s="42" t="str">
        <x:v>https://www.ptc.gov.sg/fares/public-transport-fares-and-passes/</x:v>
      </x:c>
      <x:c r="U109" s="21" t="str">
        <x:v>카드 결제 거리별 현행 요금</x:v>
      </x:c>
    </x:row>
    <x:row r="110" ht="34" customHeight="1">
      <x:c r="A110" s="33" t="str">
        <x:v>SIN-TR-004</x:v>
      </x:c>
      <x:c r="B110" s="33" t="str">
        <x:v>싱가포르</x:v>
      </x:c>
      <x:c r="C110" s="33" t="str">
        <x:v>싱가포르</x:v>
      </x:c>
      <x:c r="D110" s="33" t="str">
        <x:v>교통</x:v>
      </x:c>
      <x:c r="E110" s="33" t="str">
        <x:v>급행버스 1회권</x:v>
      </x:c>
      <x:c r="F110" s="22" t="str">
        <x:v>익스프레스 버스 카드 성인 요금</x:v>
      </x:c>
      <x:c r="G110" s="22" t="str">
        <x:v>Express Bus Adult Card Fare</x:v>
      </x:c>
      <x:c r="H110" s="39" t="n">
        <x:v>2.28</x:v>
      </x:c>
      <x:c r="I110" s="39" t="n">
        <x:v>3.57</x:v>
      </x:c>
      <x:c r="J110" s="33" t="str">
        <x:v>SGD</x:v>
      </x:c>
      <x:c r="K110" s="33" t="str">
        <x:v>성인 1인 1회</x:v>
      </x:c>
      <x:c r="L110" s="33" t="str">
        <x:v>거리형</x:v>
      </x:c>
      <x:c r="M110" s="33" t="str">
        <x:v>일반</x:v>
      </x:c>
      <x:c r="N110" s="33" t="str">
        <x:v>A 공식</x:v>
      </x:c>
      <x:c r="O110" s="33" t="str">
        <x:v>예</x:v>
      </x:c>
      <x:c r="P110" s="33" t="str">
        <x:v>확정 2차</x:v>
      </x:c>
      <x:c r="Q110" s="41" t="n">
        <x:v>46298</x:v>
      </x:c>
      <x:c r="R110" s="33" t="str">
        <x:v>2026</x:v>
      </x:c>
      <x:c r="S110" s="22" t="str">
        <x:v>Public Transport Council</x:v>
      </x:c>
      <x:c r="T110" s="43" t="str">
        <x:v>https://www.ptc.gov.sg/fares/public-transport-fares-and-passes/</x:v>
      </x:c>
      <x:c r="U110" s="22" t="str">
        <x:v>카드 결제 거리별 현행 요금</x:v>
      </x:c>
    </x:row>
    <x:row r="111" ht="34" customHeight="1">
      <x:c r="A111" s="32" t="str">
        <x:v>SIN-AT-003</x:v>
      </x:c>
      <x:c r="B111" s="32" t="str">
        <x:v>싱가포르</x:v>
      </x:c>
      <x:c r="C111" s="32" t="str">
        <x:v>싱가포르</x:v>
      </x:c>
      <x:c r="D111" s="32" t="str">
        <x:v>관광</x:v>
      </x:c>
      <x:c r="E111" s="32" t="str">
        <x:v>정원</x:v>
      </x:c>
      <x:c r="F111" s="21" t="str">
        <x:v>국립 난초 정원 일반 입장권</x:v>
      </x:c>
      <x:c r="G111" s="21" t="str">
        <x:v>National Orchid Garden Standard Adult Admission</x:v>
      </x:c>
      <x:c r="H111" s="38" t="n">
        <x:v>15</x:v>
      </x:c>
      <x:c r="I111" s="38" t="n">
        <x:v>15</x:v>
      </x:c>
      <x:c r="J111" s="32" t="str">
        <x:v>SGD</x:v>
      </x:c>
      <x:c r="K111" s="32" t="str">
        <x:v>성인 1인</x:v>
      </x:c>
      <x:c r="L111" s="32" t="str">
        <x:v>고정형</x:v>
      </x:c>
      <x:c r="M111" s="32" t="str">
        <x:v>일반</x:v>
      </x:c>
      <x:c r="N111" s="32" t="str">
        <x:v>A 공식</x:v>
      </x:c>
      <x:c r="O111" s="32" t="str">
        <x:v>예</x:v>
      </x:c>
      <x:c r="P111" s="32" t="str">
        <x:v>확정 2차</x:v>
      </x:c>
      <x:c r="Q111" s="40" t="d">
        <x:v>2026-10-02T00:00:00.000Z</x:v>
      </x:c>
      <x:c r="R111" s="32" t="str">
        <x:v>2026</x:v>
      </x:c>
      <x:c r="S111" s="21" t="str">
        <x:v>Singapore Botanic Gardens</x:v>
      </x:c>
      <x:c r="T111" s="42" t="str">
        <x:v>https://sbg.nparks.gov.sg/attractions/national-orchid-garden/</x:v>
      </x:c>
      <x:c r="U111" s="21" t="str">
        <x:v>표준 성인 요금</x:v>
      </x:c>
    </x:row>
    <x:row r="112" ht="34" customHeight="1">
      <x:c r="A112" s="33" t="str">
        <x:v>SIN-AT-004</x:v>
      </x:c>
      <x:c r="B112" s="33" t="str">
        <x:v>싱가포르</x:v>
      </x:c>
      <x:c r="C112" s="33" t="str">
        <x:v>싱가포르</x:v>
      </x:c>
      <x:c r="D112" s="33" t="str">
        <x:v>관광</x:v>
      </x:c>
      <x:c r="E112" s="33" t="str">
        <x:v>박물관</x:v>
      </x:c>
      <x:c r="F112" s="22" t="str">
        <x:v>싱가포르 국립박물관 관광객 성인권</x:v>
      </x:c>
      <x:c r="G112" s="22" t="str">
        <x:v>National Museum of Singapore Tourist Adult Admission</x:v>
      </x:c>
      <x:c r="H112" s="39" t="n">
        <x:v>20</x:v>
      </x:c>
      <x:c r="I112" s="39" t="n">
        <x:v>20</x:v>
      </x:c>
      <x:c r="J112" s="33" t="str">
        <x:v>SGD</x:v>
      </x:c>
      <x:c r="K112" s="33" t="str">
        <x:v>성인 1인</x:v>
      </x:c>
      <x:c r="L112" s="33" t="str">
        <x:v>고정형</x:v>
      </x:c>
      <x:c r="M112" s="33" t="str">
        <x:v>관광객</x:v>
      </x:c>
      <x:c r="N112" s="33" t="str">
        <x:v>A 공식</x:v>
      </x:c>
      <x:c r="O112" s="33" t="str">
        <x:v>예</x:v>
      </x:c>
      <x:c r="P112" s="33" t="str">
        <x:v>확정 2차</x:v>
      </x:c>
      <x:c r="Q112" s="41" t="n">
        <x:v>46298</x:v>
      </x:c>
      <x:c r="R112" s="33" t="str">
        <x:v>2026</x:v>
      </x:c>
      <x:c r="S112" s="22" t="str">
        <x:v>National Museum of Singapore</x:v>
      </x:c>
      <x:c r="T112" s="43" t="str">
        <x:v>https://www.nhb.gov.sg/nationalmuseum/plan-your-visit/visitor-information/admissions</x:v>
      </x:c>
      <x:c r="U112" s="22" t="str">
        <x:v>v0.4 재확인: 관광객·외국인 거주자 General Admission S$20. 표준 성인 S$15는 별도 입장 구분.</x:v>
      </x:c>
    </x:row>
    <x:row r="113" ht="34" customHeight="1">
      <x:c r="A113" s="32" t="str">
        <x:v>SIN-FD-005</x:v>
      </x:c>
      <x:c r="B113" s="32" t="str">
        <x:v>싱가포르</x:v>
      </x:c>
      <x:c r="C113" s="32" t="str">
        <x:v>싱가포르</x:v>
      </x:c>
      <x:c r="D113" s="32" t="str">
        <x:v>외식</x:v>
      </x:c>
      <x:c r="E113" s="32" t="str">
        <x:v>저가 한끼</x:v>
      </x:c>
      <x:c r="F113" s="21" t="str">
        <x:v>올드창키 시그니처 커리치킨 라이스</x:v>
      </x:c>
      <x:c r="G113" s="21" t="str">
        <x:v>Old Chang Kee Signature Curry Chicken Rice</x:v>
      </x:c>
      <x:c r="H113" s="38" t="n">
        <x:v>8.9</x:v>
      </x:c>
      <x:c r="I113" s="38" t="n">
        <x:v>8.9</x:v>
      </x:c>
      <x:c r="J113" s="32" t="str">
        <x:v>SGD</x:v>
      </x:c>
      <x:c r="K113" s="32" t="str">
        <x:v>1메뉴</x:v>
      </x:c>
      <x:c r="L113" s="32" t="str">
        <x:v>메뉴형</x:v>
      </x:c>
      <x:c r="M113" s="32" t="str">
        <x:v>일반</x:v>
      </x:c>
      <x:c r="N113" s="32" t="str">
        <x:v>D 보류</x:v>
      </x:c>
      <x:c r="O113" s="32" t="str">
        <x:v>아니오</x:v>
      </x:c>
      <x:c r="P113" s="32" t="str">
        <x:v>보류</x:v>
      </x:c>
      <x:c r="Q113" s="40" t="n">
        <x:v>46298</x:v>
      </x:c>
      <x:c r="R113" s="32" t="str">
        <x:v>2026</x:v>
      </x:c>
      <x:c r="S113" s="21" t="str">
        <x:v>Old Chang Kee</x:v>
      </x:c>
      <x:c r="T113" s="42" t="str">
        <x:v>https://www.oldchangkee.com/images/Coffee-House-Menu.pdf</x:v>
      </x:c>
      <x:c r="U113" s="21" t="str">
        <x:v>v0.4 보류: 기존 8.9–8.9 SGD는 공식 가격으로 확인되지 않아 계산에서 제외. 공식 PDF 파일명이 2022-06 메뉴로, 현재 가격인지 확인할 수 없음. 2026 가격 검증 전 계산 제외.</x:v>
      </x:c>
    </x:row>
    <x:row r="114" ht="34" customHeight="1">
      <x:c r="A114" s="33" t="str">
        <x:v>SIN-SV-002</x:v>
      </x:c>
      <x:c r="B114" s="33" t="str">
        <x:v>싱가포르</x:v>
      </x:c>
      <x:c r="C114" s="33" t="str">
        <x:v>싱가포르</x:v>
      </x:c>
      <x:c r="D114" s="33" t="str">
        <x:v>기념품</x:v>
      </x:c>
      <x:c r="E114" s="33" t="str">
        <x:v>식품</x:v>
      </x:c>
      <x:c r="F114" s="22" t="str">
        <x:v>벵가완 솔로 파인애플 타르트 330g</x:v>
      </x:c>
      <x:c r="G114" s="22" t="str">
        <x:v>Bengawan Solo Pineapple Tarts 330g</x:v>
      </x:c>
      <x:c r="H114" s="39" t="n">
        <x:v>28</x:v>
      </x:c>
      <x:c r="I114" s="39" t="n">
        <x:v>28</x:v>
      </x:c>
      <x:c r="J114" s="33" t="str">
        <x:v>SGD</x:v>
      </x:c>
      <x:c r="K114" s="33" t="str">
        <x:v>1상자</x:v>
      </x:c>
      <x:c r="L114" s="33" t="str">
        <x:v>재고형</x:v>
      </x:c>
      <x:c r="M114" s="33" t="str">
        <x:v>일반</x:v>
      </x:c>
      <x:c r="N114" s="33" t="str">
        <x:v>A 공식</x:v>
      </x:c>
      <x:c r="O114" s="33" t="str">
        <x:v>예</x:v>
      </x:c>
      <x:c r="P114" s="33" t="str">
        <x:v>확정 2차</x:v>
      </x:c>
      <x:c r="Q114" s="41" t="n">
        <x:v>46298</x:v>
      </x:c>
      <x:c r="R114" s="33" t="str">
        <x:v>2026</x:v>
      </x:c>
      <x:c r="S114" s="22" t="str">
        <x:v>Bengawan Solo</x:v>
      </x:c>
      <x:c r="T114" s="43" t="str">
        <x:v>https://bengawansolo.sg/signatures</x:v>
      </x:c>
      <x:c r="U114" s="22" t="str">
        <x:v>공식 시그니처 상품 가격</x:v>
      </x:c>
    </x:row>
    <x:row r="115" ht="34" customHeight="1">
      <x:c r="A115" s="32" t="str">
        <x:v>SIN-SV-003</x:v>
      </x:c>
      <x:c r="B115" s="32" t="str">
        <x:v>싱가포르</x:v>
      </x:c>
      <x:c r="C115" s="32" t="str">
        <x:v>싱가포르</x:v>
      </x:c>
      <x:c r="D115" s="32" t="str">
        <x:v>기념품</x:v>
      </x:c>
      <x:c r="E115" s="32" t="str">
        <x:v>식품</x:v>
      </x:c>
      <x:c r="F115" s="21" t="str">
        <x:v>벵가완 솔로 판단 쉬폰</x:v>
      </x:c>
      <x:c r="G115" s="21" t="str">
        <x:v>Bengawan Solo Pandan Chiffon</x:v>
      </x:c>
      <x:c r="H115" s="38" t="n">
        <x:v>22</x:v>
      </x:c>
      <x:c r="I115" s="38" t="n">
        <x:v>22</x:v>
      </x:c>
      <x:c r="J115" s="32" t="str">
        <x:v>SGD</x:v>
      </x:c>
      <x:c r="K115" s="32" t="str">
        <x:v>1개</x:v>
      </x:c>
      <x:c r="L115" s="32" t="str">
        <x:v>재고형</x:v>
      </x:c>
      <x:c r="M115" s="32" t="str">
        <x:v>일반</x:v>
      </x:c>
      <x:c r="N115" s="32" t="str">
        <x:v>A 공식</x:v>
      </x:c>
      <x:c r="O115" s="32" t="str">
        <x:v>예</x:v>
      </x:c>
      <x:c r="P115" s="32" t="str">
        <x:v>확정 2차</x:v>
      </x:c>
      <x:c r="Q115" s="40" t="n">
        <x:v>46298</x:v>
      </x:c>
      <x:c r="R115" s="32" t="str">
        <x:v>2026</x:v>
      </x:c>
      <x:c r="S115" s="21" t="str">
        <x:v>Bengawan Solo</x:v>
      </x:c>
      <x:c r="T115" s="42" t="str">
        <x:v>https://bengawansolo.sg/signatures</x:v>
      </x:c>
      <x:c r="U115" s="21" t="str">
        <x:v>공식 시그니처 상품 가격</x:v>
      </x:c>
    </x:row>
    <x:row r="116" ht="34" customHeight="1">
      <x:c r="A116" s="33" t="str">
        <x:v>PAR-TR-002</x:v>
      </x:c>
      <x:c r="B116" s="33" t="str">
        <x:v>프랑스</x:v>
      </x:c>
      <x:c r="C116" s="33" t="str">
        <x:v>파리</x:v>
      </x:c>
      <x:c r="D116" s="33" t="str">
        <x:v>교통</x:v>
      </x:c>
      <x:c r="E116" s="33" t="str">
        <x:v>철도 1회권</x:v>
      </x:c>
      <x:c r="F116" s="22" t="str">
        <x:v>메트로-기차-RER 단일권</x:v>
      </x:c>
      <x:c r="G116" s="22" t="str">
        <x:v>Metro-Train-RER Single Ticket</x:v>
      </x:c>
      <x:c r="H116" s="39" t="n">
        <x:v>2.55</x:v>
      </x:c>
      <x:c r="I116" s="39" t="n">
        <x:v>2.55</x:v>
      </x:c>
      <x:c r="J116" s="33" t="str">
        <x:v>EUR</x:v>
      </x:c>
      <x:c r="K116" s="33" t="str">
        <x:v>성인 1인 1회</x:v>
      </x:c>
      <x:c r="L116" s="33" t="str">
        <x:v>고정형</x:v>
      </x:c>
      <x:c r="M116" s="33" t="str">
        <x:v>일반</x:v>
      </x:c>
      <x:c r="N116" s="33" t="str">
        <x:v>A 공식</x:v>
      </x:c>
      <x:c r="O116" s="33" t="str">
        <x:v>예</x:v>
      </x:c>
      <x:c r="P116" s="33" t="str">
        <x:v>확정 2차</x:v>
      </x:c>
      <x:c r="Q116" s="41" t="n">
        <x:v>46298</x:v>
      </x:c>
      <x:c r="R116" s="33" t="str">
        <x:v>2026</x:v>
      </x:c>
      <x:c r="S116" s="22" t="str">
        <x:v>Île-de-France Mobilités</x:v>
      </x:c>
      <x:c r="T116" s="43" t="str">
        <x:v>https://www.iledefrance-mobilites.fr/en/titres-et-tarifs/detail/ticket-metro-train-rer</x:v>
      </x:c>
      <x:c r="U116" s="22" t="str">
        <x:v>공항 노선 제외</x:v>
      </x:c>
    </x:row>
    <x:row r="117" ht="34" customHeight="1">
      <x:c r="A117" s="32" t="str">
        <x:v>PAR-TR-003</x:v>
      </x:c>
      <x:c r="B117" s="32" t="str">
        <x:v>프랑스</x:v>
      </x:c>
      <x:c r="C117" s="32" t="str">
        <x:v>파리</x:v>
      </x:c>
      <x:c r="D117" s="32" t="str">
        <x:v>교통</x:v>
      </x:c>
      <x:c r="E117" s="32" t="str">
        <x:v>버스·트램 1회권</x:v>
      </x:c>
      <x:c r="F117" s="21" t="str">
        <x:v>버스-트램 단일권</x:v>
      </x:c>
      <x:c r="G117" s="21" t="str">
        <x:v>Bus-Tram Single Ticket</x:v>
      </x:c>
      <x:c r="H117" s="38" t="n">
        <x:v>2.05</x:v>
      </x:c>
      <x:c r="I117" s="38" t="n">
        <x:v>2.05</x:v>
      </x:c>
      <x:c r="J117" s="32" t="str">
        <x:v>EUR</x:v>
      </x:c>
      <x:c r="K117" s="32" t="str">
        <x:v>성인 1인 1회</x:v>
      </x:c>
      <x:c r="L117" s="32" t="str">
        <x:v>고정형</x:v>
      </x:c>
      <x:c r="M117" s="32" t="str">
        <x:v>일반</x:v>
      </x:c>
      <x:c r="N117" s="32" t="str">
        <x:v>A 공식</x:v>
      </x:c>
      <x:c r="O117" s="32" t="str">
        <x:v>예</x:v>
      </x:c>
      <x:c r="P117" s="32" t="str">
        <x:v>확정 2차</x:v>
      </x:c>
      <x:c r="Q117" s="40" t="n">
        <x:v>46298</x:v>
      </x:c>
      <x:c r="R117" s="32" t="str">
        <x:v>2026</x:v>
      </x:c>
      <x:c r="S117" s="21" t="str">
        <x:v>Île-de-France Mobilités</x:v>
      </x:c>
      <x:c r="T117" s="42" t="str">
        <x:v>https://www.iledefrance-mobilites.fr/en/tarifs-titre-de-transport-en-commun-2026</x:v>
      </x:c>
      <x:c r="U117" s="21" t="str">
        <x:v>현행 2026 단일권</x:v>
      </x:c>
    </x:row>
    <x:row r="118" ht="34" customHeight="1">
      <x:c r="A118" s="33" t="str">
        <x:v>PAR-TR-004</x:v>
      </x:c>
      <x:c r="B118" s="33" t="str">
        <x:v>프랑스</x:v>
      </x:c>
      <x:c r="C118" s="33" t="str">
        <x:v>파리</x:v>
      </x:c>
      <x:c r="D118" s="33" t="str">
        <x:v>교통</x:v>
      </x:c>
      <x:c r="E118" s="33" t="str">
        <x:v>구독형 철도 1회권</x:v>
      </x:c>
      <x:c r="F118" s="22" t="str">
        <x:v>나비고 리베르테 플러스 메트로-기차-RER</x:v>
      </x:c>
      <x:c r="G118" s="22" t="str">
        <x:v>Navigo Liberte Plus Metro-Train-RER Journey</x:v>
      </x:c>
      <x:c r="H118" s="39" t="n">
        <x:v>2.04</x:v>
      </x:c>
      <x:c r="I118" s="39" t="n">
        <x:v>2.04</x:v>
      </x:c>
      <x:c r="J118" s="33" t="str">
        <x:v>EUR</x:v>
      </x:c>
      <x:c r="K118" s="33" t="str">
        <x:v>성인 1인 1회</x:v>
      </x:c>
      <x:c r="L118" s="33" t="str">
        <x:v>구독형</x:v>
      </x:c>
      <x:c r="M118" s="33" t="str">
        <x:v>일반</x:v>
      </x:c>
      <x:c r="N118" s="33" t="str">
        <x:v>A 공식</x:v>
      </x:c>
      <x:c r="O118" s="33" t="str">
        <x:v>예</x:v>
      </x:c>
      <x:c r="P118" s="33" t="str">
        <x:v>확정 2차</x:v>
      </x:c>
      <x:c r="Q118" s="41" t="n">
        <x:v>46298</x:v>
      </x:c>
      <x:c r="R118" s="33" t="str">
        <x:v>2026</x:v>
      </x:c>
      <x:c r="S118" s="22" t="str">
        <x:v>Île-de-France Mobilités</x:v>
      </x:c>
      <x:c r="T118" s="43" t="str">
        <x:v>https://www.iledefrance-mobilites.fr/en/titres-et-tarifs/detail/navigo-liberte-plus</x:v>
      </x:c>
      <x:c r="U118" s="22" t="str">
        <x:v>가입형 후불 상품; 일반 단일권과 별도 상품</x:v>
      </x:c>
    </x:row>
    <x:row r="119" ht="34" customHeight="1">
      <x:c r="A119" s="32" t="str">
        <x:v>PAR-FD-003</x:v>
      </x:c>
      <x:c r="B119" s="32" t="str">
        <x:v>프랑스</x:v>
      </x:c>
      <x:c r="C119" s="32" t="str">
        <x:v>파리</x:v>
      </x:c>
      <x:c r="D119" s="32" t="str">
        <x:v>외식</x:v>
      </x:c>
      <x:c r="E119" s="32" t="str">
        <x:v>저가 한끼</x:v>
      </x:c>
      <x:c r="F119" s="21" t="str">
        <x:v>부용 서비스 3코스 세트</x:v>
      </x:c>
      <x:c r="G119" s="21" t="str">
        <x:v>Bouillon Service Three-Course Set</x:v>
      </x:c>
      <x:c r="H119" s="38" t="n">
        <x:v>10</x:v>
      </x:c>
      <x:c r="I119" s="38" t="n">
        <x:v>10</x:v>
      </x:c>
      <x:c r="J119" s="32" t="str">
        <x:v>EUR</x:v>
      </x:c>
      <x:c r="K119" s="32" t="str">
        <x:v>1인 세트</x:v>
      </x:c>
      <x:c r="L119" s="32" t="str">
        <x:v>메뉴형</x:v>
      </x:c>
      <x:c r="M119" s="32" t="str">
        <x:v>일반</x:v>
      </x:c>
      <x:c r="N119" s="32" t="str">
        <x:v>A 공식</x:v>
      </x:c>
      <x:c r="O119" s="32" t="str">
        <x:v>예</x:v>
      </x:c>
      <x:c r="P119" s="32" t="str">
        <x:v>확정 2차</x:v>
      </x:c>
      <x:c r="Q119" s="40" t="n">
        <x:v>46298</x:v>
      </x:c>
      <x:c r="R119" s="32" t="str">
        <x:v>2026</x:v>
      </x:c>
      <x:c r="S119" s="21" t="str">
        <x:v>Bouillon Service</x:v>
      </x:c>
      <x:c r="T119" s="42" t="str">
        <x:v>https://bouillonlesite.com/</x:v>
      </x:c>
      <x:c r="U119" s="21" t="str">
        <x:v>v0.4 재확인: Bouillon Service 공식 홈페이지의 전채·메인·디저트 포장 세트 €10.</x:v>
      </x:c>
    </x:row>
    <x:row r="120" ht="34" customHeight="1">
      <x:c r="A120" s="33" t="str">
        <x:v>PAR-FD-004</x:v>
      </x:c>
      <x:c r="B120" s="33" t="str">
        <x:v>프랑스</x:v>
      </x:c>
      <x:c r="C120" s="33" t="str">
        <x:v>파리</x:v>
      </x:c>
      <x:c r="D120" s="33" t="str">
        <x:v>외식</x:v>
      </x:c>
      <x:c r="E120" s="33" t="str">
        <x:v>중가 한끼</x:v>
      </x:c>
      <x:c r="F120" s="22" t="str">
        <x:v>비스트로 파리지앵 시저 샐러드</x:v>
      </x:c>
      <x:c r="G120" s="22" t="str">
        <x:v>Bistro Parisien Caesar Salad</x:v>
      </x:c>
      <x:c r="H120" s="39" t="n">
        <x:v>19</x:v>
      </x:c>
      <x:c r="I120" s="39" t="n">
        <x:v>19</x:v>
      </x:c>
      <x:c r="J120" s="33" t="str">
        <x:v>EUR</x:v>
      </x:c>
      <x:c r="K120" s="33" t="str">
        <x:v>1메뉴</x:v>
      </x:c>
      <x:c r="L120" s="33" t="str">
        <x:v>메뉴형</x:v>
      </x:c>
      <x:c r="M120" s="33" t="str">
        <x:v>일반</x:v>
      </x:c>
      <x:c r="N120" s="33" t="str">
        <x:v>A 공식</x:v>
      </x:c>
      <x:c r="O120" s="33" t="str">
        <x:v>예</x:v>
      </x:c>
      <x:c r="P120" s="33" t="str">
        <x:v>확정 2차</x:v>
      </x:c>
      <x:c r="Q120" s="41" t="n">
        <x:v>46298</x:v>
      </x:c>
      <x:c r="R120" s="33" t="str">
        <x:v>2026</x:v>
      </x:c>
      <x:c r="S120" s="22" t="str">
        <x:v>Bateaux Parisiens Bistro Parisien</x:v>
      </x:c>
      <x:c r="T120" s="43" t="str">
        <x:v>https://www.bateauxparisiens.com/upload/pdf/1498/EN%20Bistro%20Menu%20PE26%20Particuliers.pdf</x:v>
      </x:c>
      <x:c r="U120" s="22" t="str">
        <x:v>2026 공식 메뉴 PDF</x:v>
      </x:c>
    </x:row>
    <x:row r="121" ht="34" customHeight="1">
      <x:c r="A121" s="32" t="str">
        <x:v>LON-TR-002</x:v>
      </x:c>
      <x:c r="B121" s="32" t="str">
        <x:v>영국</x:v>
      </x:c>
      <x:c r="C121" s="32" t="str">
        <x:v>런던</x:v>
      </x:c>
      <x:c r="D121" s="32" t="str">
        <x:v>교통</x:v>
      </x:c>
      <x:c r="E121" s="32" t="str">
        <x:v>버스·트램 1회권</x:v>
      </x:c>
      <x:c r="F121" s="21" t="str">
        <x:v>TfL 버스·트램 성인 PAYG</x:v>
      </x:c>
      <x:c r="G121" s="21" t="str">
        <x:v>TfL Bus and Tram Adult PAYG Fare</x:v>
      </x:c>
      <x:c r="H121" s="38" t="n">
        <x:v>1.75</x:v>
      </x:c>
      <x:c r="I121" s="38" t="n">
        <x:v>1.75</x:v>
      </x:c>
      <x:c r="J121" s="32" t="str">
        <x:v>GBP</x:v>
      </x:c>
      <x:c r="K121" s="32" t="str">
        <x:v>성인 1인 1회</x:v>
      </x:c>
      <x:c r="L121" s="32" t="str">
        <x:v>고정형</x:v>
      </x:c>
      <x:c r="M121" s="32" t="str">
        <x:v>일반</x:v>
      </x:c>
      <x:c r="N121" s="32" t="str">
        <x:v>A 공식</x:v>
      </x:c>
      <x:c r="O121" s="32" t="str">
        <x:v>예</x:v>
      </x:c>
      <x:c r="P121" s="32" t="str">
        <x:v>확정 2차</x:v>
      </x:c>
      <x:c r="Q121" s="40" t="d">
        <x:v>2026-10-02T00:00:00.000Z</x:v>
      </x:c>
      <x:c r="R121" s="32" t="str">
        <x:v>2026</x:v>
      </x:c>
      <x:c r="S121" s="21" t="str">
        <x:v>Transport for London</x:v>
      </x:c>
      <x:c r="T121" s="42" t="str">
        <x:v>https://tfl.gov.uk/campaign/fares-from-2-march-2025</x:v>
      </x:c>
      <x:c r="U121" s="21" t="str">
        <x:v>Hopper 규칙 적용 가능</x:v>
      </x:c>
    </x:row>
    <x:row r="122" ht="34" customHeight="1">
      <x:c r="A122" s="33" t="str">
        <x:v>LON-TR-003</x:v>
      </x:c>
      <x:c r="B122" s="33" t="str">
        <x:v>영국</x:v>
      </x:c>
      <x:c r="C122" s="33" t="str">
        <x:v>런던</x:v>
      </x:c>
      <x:c r="D122" s="33" t="str">
        <x:v>교통</x:v>
      </x:c>
      <x:c r="E122" s="33" t="str">
        <x:v>지하철 1회권</x:v>
      </x:c>
      <x:c r="F122" s="22" t="str">
        <x:v>런던 지하철 존1 피크 PAYG</x:v>
      </x:c>
      <x:c r="G122" s="22" t="str">
        <x:v>London Underground Zone 1 Peak PAYG</x:v>
      </x:c>
      <x:c r="H122" s="39" t="n">
        <x:v>3.1</x:v>
      </x:c>
      <x:c r="I122" s="39" t="n">
        <x:v>3.1</x:v>
      </x:c>
      <x:c r="J122" s="33" t="str">
        <x:v>GBP</x:v>
      </x:c>
      <x:c r="K122" s="33" t="str">
        <x:v>성인 1인 1회</x:v>
      </x:c>
      <x:c r="L122" s="33" t="str">
        <x:v>고정형</x:v>
      </x:c>
      <x:c r="M122" s="33" t="str">
        <x:v>일반</x:v>
      </x:c>
      <x:c r="N122" s="33" t="str">
        <x:v>A 공식</x:v>
      </x:c>
      <x:c r="O122" s="33" t="str">
        <x:v>예</x:v>
      </x:c>
      <x:c r="P122" s="33" t="str">
        <x:v>확정 2차</x:v>
      </x:c>
      <x:c r="Q122" s="41" t="n">
        <x:v>46298</x:v>
      </x:c>
      <x:c r="R122" s="33" t="str">
        <x:v>2026-03-01 이후</x:v>
      </x:c>
      <x:c r="S122" s="22" t="str">
        <x:v>Transport for London</x:v>
      </x:c>
      <x:c r="T122" s="43" t="str">
        <x:v>https://tfl.gov.uk/campaign/fares-from-2-march-2025</x:v>
      </x:c>
      <x:c r="U122" s="22" t="str">
        <x:v>비접촉식·오이스터 PAYG</x:v>
      </x:c>
    </x:row>
    <x:row r="123" ht="34" customHeight="1">
      <x:c r="A123" s="32" t="str">
        <x:v>LON-TR-004</x:v>
      </x:c>
      <x:c r="B123" s="32" t="str">
        <x:v>영국</x:v>
      </x:c>
      <x:c r="C123" s="32" t="str">
        <x:v>런던</x:v>
      </x:c>
      <x:c r="D123" s="32" t="str">
        <x:v>교통</x:v>
      </x:c>
      <x:c r="E123" s="32" t="str">
        <x:v>케이블카 1회권</x:v>
      </x:c>
      <x:c r="F123" s="21" t="str">
        <x:v>IFS 클라우드 케이블카 편도 성인권</x:v>
      </x:c>
      <x:c r="G123" s="21" t="str">
        <x:v>IFS Cloud Cable Car Adult One-Way</x:v>
      </x:c>
      <x:c r="H123" s="38" t="n">
        <x:v>7</x:v>
      </x:c>
      <x:c r="I123" s="38" t="n">
        <x:v>7</x:v>
      </x:c>
      <x:c r="J123" s="32" t="str">
        <x:v>GBP</x:v>
      </x:c>
      <x:c r="K123" s="32" t="str">
        <x:v>성인 1인 1회</x:v>
      </x:c>
      <x:c r="L123" s="32" t="str">
        <x:v>고정형</x:v>
      </x:c>
      <x:c r="M123" s="32" t="str">
        <x:v>일반</x:v>
      </x:c>
      <x:c r="N123" s="32" t="str">
        <x:v>A 공식</x:v>
      </x:c>
      <x:c r="O123" s="32" t="str">
        <x:v>예</x:v>
      </x:c>
      <x:c r="P123" s="32" t="str">
        <x:v>확정 2차</x:v>
      </x:c>
      <x:c r="Q123" s="40" t="n">
        <x:v>46298</x:v>
      </x:c>
      <x:c r="R123" s="32" t="str">
        <x:v>2026</x:v>
      </x:c>
      <x:c r="S123" s="21" t="str">
        <x:v>Transport for London</x:v>
      </x:c>
      <x:c r="T123" s="42" t="str">
        <x:v>https://tfl.gov.uk/campaign/fares-from-2-march-2025</x:v>
      </x:c>
      <x:c r="U123" s="21" t="str">
        <x:v>편도 일반 성인 요금</x:v>
      </x:c>
    </x:row>
    <x:row r="124" ht="34" customHeight="1">
      <x:c r="A124" s="33" t="str">
        <x:v>LON-FD-005</x:v>
      </x:c>
      <x:c r="B124" s="33" t="str">
        <x:v>영국</x:v>
      </x:c>
      <x:c r="C124" s="33" t="str">
        <x:v>런던</x:v>
      </x:c>
      <x:c r="D124" s="33" t="str">
        <x:v>외식</x:v>
      </x:c>
      <x:c r="E124" s="33" t="str">
        <x:v>중가 한끼</x:v>
      </x:c>
      <x:c r="F124" s="22" t="str">
        <x:v>디슘 촐레 푸리 할와</x:v>
      </x:c>
      <x:c r="G124" s="22" t="str">
        <x:v>Dishoom Chole Puri Halwa</x:v>
      </x:c>
      <x:c r="H124" s="39" t="n">
        <x:v>15.9</x:v>
      </x:c>
      <x:c r="I124" s="39" t="n">
        <x:v>15.9</x:v>
      </x:c>
      <x:c r="J124" s="33" t="str">
        <x:v>GBP</x:v>
      </x:c>
      <x:c r="K124" s="33" t="str">
        <x:v>1메뉴</x:v>
      </x:c>
      <x:c r="L124" s="33" t="str">
        <x:v>메뉴형</x:v>
      </x:c>
      <x:c r="M124" s="33" t="str">
        <x:v>일반</x:v>
      </x:c>
      <x:c r="N124" s="33" t="str">
        <x:v>A 공식</x:v>
      </x:c>
      <x:c r="O124" s="33" t="str">
        <x:v>예</x:v>
      </x:c>
      <x:c r="P124" s="33" t="str">
        <x:v>확정 2차</x:v>
      </x:c>
      <x:c r="Q124" s="41" t="n">
        <x:v>46298</x:v>
      </x:c>
      <x:c r="R124" s="33" t="str">
        <x:v>2026</x:v>
      </x:c>
      <x:c r="S124" s="22" t="str">
        <x:v>Dishoom</x:v>
      </x:c>
      <x:c r="T124" s="43" t="str">
        <x:v>https://www.dishoom.com/menu/all-day-main/</x:v>
      </x:c>
      <x:c r="U124" s="22" t="str">
        <x:v>공식 올데이 메뉴</x:v>
      </x:c>
    </x:row>
    <x:row r="125" ht="34" customHeight="1">
      <x:c r="A125" s="32" t="str">
        <x:v>LON-FD-006</x:v>
      </x:c>
      <x:c r="B125" s="32" t="str">
        <x:v>영국</x:v>
      </x:c>
      <x:c r="C125" s="32" t="str">
        <x:v>런던</x:v>
      </x:c>
      <x:c r="D125" s="32" t="str">
        <x:v>외식</x:v>
      </x:c>
      <x:c r="E125" s="32" t="str">
        <x:v>중가 한끼</x:v>
      </x:c>
      <x:c r="F125" s="21" t="str">
        <x:v>디슘 치킨 루비</x:v>
      </x:c>
      <x:c r="G125" s="21" t="str">
        <x:v>Dishoom Chicken Ruby</x:v>
      </x:c>
      <x:c r="H125" s="38" t="n">
        <x:v>18.9</x:v>
      </x:c>
      <x:c r="I125" s="38" t="n">
        <x:v>18.9</x:v>
      </x:c>
      <x:c r="J125" s="32" t="str">
        <x:v>GBP</x:v>
      </x:c>
      <x:c r="K125" s="32" t="str">
        <x:v>1메뉴</x:v>
      </x:c>
      <x:c r="L125" s="32" t="str">
        <x:v>메뉴형</x:v>
      </x:c>
      <x:c r="M125" s="32" t="str">
        <x:v>일반</x:v>
      </x:c>
      <x:c r="N125" s="32" t="str">
        <x:v>A 공식</x:v>
      </x:c>
      <x:c r="O125" s="32" t="str">
        <x:v>예</x:v>
      </x:c>
      <x:c r="P125" s="32" t="str">
        <x:v>확정 2차</x:v>
      </x:c>
      <x:c r="Q125" s="40" t="n">
        <x:v>46298</x:v>
      </x:c>
      <x:c r="R125" s="32" t="str">
        <x:v>2026</x:v>
      </x:c>
      <x:c r="S125" s="21" t="str">
        <x:v>Dishoom</x:v>
      </x:c>
      <x:c r="T125" s="42" t="str">
        <x:v>https://www.dishoom.com/menu/all-day-main/</x:v>
      </x:c>
      <x:c r="U125" s="21" t="str">
        <x:v>공식 올데이 메뉴</x:v>
      </x:c>
    </x:row>
    <x:row r="126" ht="34" customHeight="1">
      <x:c r="A126" s="33" t="str">
        <x:v>LON-FD-007</x:v>
      </x:c>
      <x:c r="B126" s="33" t="str">
        <x:v>영국</x:v>
      </x:c>
      <x:c r="C126" s="33" t="str">
        <x:v>런던</x:v>
      </x:c>
      <x:c r="D126" s="33" t="str">
        <x:v>외식</x:v>
      </x:c>
      <x:c r="E126" s="33" t="str">
        <x:v>중가 한끼</x:v>
      </x:c>
      <x:c r="F126" s="22" t="str">
        <x:v>디슘 램 비리야니</x:v>
      </x:c>
      <x:c r="G126" s="22" t="str">
        <x:v>Dishoom Lamb Biryani</x:v>
      </x:c>
      <x:c r="H126" s="39" t="n">
        <x:v>21.5</x:v>
      </x:c>
      <x:c r="I126" s="39" t="n">
        <x:v>21.5</x:v>
      </x:c>
      <x:c r="J126" s="33" t="str">
        <x:v>GBP</x:v>
      </x:c>
      <x:c r="K126" s="33" t="str">
        <x:v>1메뉴</x:v>
      </x:c>
      <x:c r="L126" s="33" t="str">
        <x:v>메뉴형</x:v>
      </x:c>
      <x:c r="M126" s="33" t="str">
        <x:v>일반</x:v>
      </x:c>
      <x:c r="N126" s="33" t="str">
        <x:v>A 공식</x:v>
      </x:c>
      <x:c r="O126" s="33" t="str">
        <x:v>예</x:v>
      </x:c>
      <x:c r="P126" s="33" t="str">
        <x:v>확정 2차</x:v>
      </x:c>
      <x:c r="Q126" s="41" t="n">
        <x:v>46298</x:v>
      </x:c>
      <x:c r="R126" s="33" t="str">
        <x:v>2026</x:v>
      </x:c>
      <x:c r="S126" s="22" t="str">
        <x:v>Dishoom</x:v>
      </x:c>
      <x:c r="T126" s="43" t="str">
        <x:v>https://www.dishoom.com/menu/all-day-main/</x:v>
      </x:c>
      <x:c r="U126" s="22" t="str">
        <x:v>공식 올데이 메뉴</x:v>
      </x:c>
    </x:row>
    <x:row r="127" ht="34" customHeight="1">
      <x:c r="A127" s="32" t="str">
        <x:v>LON-SV-002</x:v>
      </x:c>
      <x:c r="B127" s="32" t="str">
        <x:v>영국</x:v>
      </x:c>
      <x:c r="C127" s="32" t="str">
        <x:v>런던</x:v>
      </x:c>
      <x:c r="D127" s="32" t="str">
        <x:v>기념품</x:v>
      </x:c>
      <x:c r="E127" s="32" t="str">
        <x:v>박물관 굿즈</x:v>
      </x:c>
      <x:c r="F127" s="21" t="str">
        <x:v>대영박물관 입체 자석</x:v>
      </x:c>
      <x:c r="G127" s="21" t="str">
        <x:v>British Museum Facade 3D Magnet</x:v>
      </x:c>
      <x:c r="H127" s="38" t="n">
        <x:v>3.75</x:v>
      </x:c>
      <x:c r="I127" s="38" t="n">
        <x:v>3.75</x:v>
      </x:c>
      <x:c r="J127" s="32" t="str">
        <x:v>GBP</x:v>
      </x:c>
      <x:c r="K127" s="32" t="str">
        <x:v>1개</x:v>
      </x:c>
      <x:c r="L127" s="32" t="str">
        <x:v>재고형</x:v>
      </x:c>
      <x:c r="M127" s="32" t="str">
        <x:v>일반</x:v>
      </x:c>
      <x:c r="N127" s="32" t="str">
        <x:v>A 공식</x:v>
      </x:c>
      <x:c r="O127" s="32" t="str">
        <x:v>예</x:v>
      </x:c>
      <x:c r="P127" s="32" t="str">
        <x:v>확정 2차</x:v>
      </x:c>
      <x:c r="Q127" s="40" t="n">
        <x:v>46298</x:v>
      </x:c>
      <x:c r="R127" s="32" t="str">
        <x:v>2026</x:v>
      </x:c>
      <x:c r="S127" s="21" t="str">
        <x:v>British Museum Shop</x:v>
      </x:c>
      <x:c r="T127" s="42" t="str">
        <x:v>https://www.britishmuseumshoponline.org/british-museum-facade-3d-magnet.html</x:v>
      </x:c>
      <x:c r="U127" s="21" t="str">
        <x:v>공식 상품 페이지 가격</x:v>
      </x:c>
    </x:row>
    <x:row r="128" ht="34" customHeight="1">
      <x:c r="A128" s="33" t="str">
        <x:v>LON-SV-003</x:v>
      </x:c>
      <x:c r="B128" s="33" t="str">
        <x:v>영국</x:v>
      </x:c>
      <x:c r="C128" s="33" t="str">
        <x:v>런던</x:v>
      </x:c>
      <x:c r="D128" s="33" t="str">
        <x:v>기념품</x:v>
      </x:c>
      <x:c r="E128" s="33" t="str">
        <x:v>박물관 굿즈</x:v>
      </x:c>
      <x:c r="F128" s="22" t="str">
        <x:v>대영박물관 토트백</x:v>
      </x:c>
      <x:c r="G128" s="22" t="str">
        <x:v>British Museum Tote Bag</x:v>
      </x:c>
      <x:c r="H128" s="39" t="n">
        <x:v>3.99</x:v>
      </x:c>
      <x:c r="I128" s="39" t="n">
        <x:v>3.99</x:v>
      </x:c>
      <x:c r="J128" s="33" t="str">
        <x:v>GBP</x:v>
      </x:c>
      <x:c r="K128" s="33" t="str">
        <x:v>1개</x:v>
      </x:c>
      <x:c r="L128" s="33" t="str">
        <x:v>재고형</x:v>
      </x:c>
      <x:c r="M128" s="33" t="str">
        <x:v>일반</x:v>
      </x:c>
      <x:c r="N128" s="33" t="str">
        <x:v>A 공식</x:v>
      </x:c>
      <x:c r="O128" s="33" t="str">
        <x:v>예</x:v>
      </x:c>
      <x:c r="P128" s="33" t="str">
        <x:v>확정 2차</x:v>
      </x:c>
      <x:c r="Q128" s="41" t="n">
        <x:v>46298</x:v>
      </x:c>
      <x:c r="R128" s="33" t="str">
        <x:v>2026</x:v>
      </x:c>
      <x:c r="S128" s="22" t="str">
        <x:v>British Museum Shop</x:v>
      </x:c>
      <x:c r="T128" s="43" t="str">
        <x:v>https://www.britishmuseumshoponline.org/british-museum-tote-bag.html</x:v>
      </x:c>
      <x:c r="U128" s="22" t="str">
        <x:v>공식 상품 페이지 가격</x:v>
      </x:c>
    </x:row>
    <x:row r="129" ht="34" customHeight="1">
      <x:c r="A129" s="32" t="str">
        <x:v>TYO-TR-005</x:v>
      </x:c>
      <x:c r="B129" s="32" t="str">
        <x:v>일본</x:v>
      </x:c>
      <x:c r="C129" s="32" t="str">
        <x:v>도쿄</x:v>
      </x:c>
      <x:c r="D129" s="32" t="str">
        <x:v>교통</x:v>
      </x:c>
      <x:c r="E129" s="32" t="str">
        <x:v>지하철 1회권</x:v>
      </x:c>
      <x:c r="F129" s="21" t="str">
        <x:v>도쿄 메트로 보통권</x:v>
      </x:c>
      <x:c r="G129" s="21" t="str">
        <x:v>Tokyo Metro Regular Ticket</x:v>
      </x:c>
      <x:c r="H129" s="38" t="n">
        <x:v>180</x:v>
      </x:c>
      <x:c r="I129" s="38" t="n">
        <x:v>330</x:v>
      </x:c>
      <x:c r="J129" s="32" t="str">
        <x:v>JPY</x:v>
      </x:c>
      <x:c r="K129" s="32" t="str">
        <x:v>성인 1인 1회</x:v>
      </x:c>
      <x:c r="L129" s="32" t="str">
        <x:v>거리형</x:v>
      </x:c>
      <x:c r="M129" s="32" t="str">
        <x:v>일반</x:v>
      </x:c>
      <x:c r="N129" s="32" t="str">
        <x:v>A 공식</x:v>
      </x:c>
      <x:c r="O129" s="32" t="str">
        <x:v>예</x:v>
      </x:c>
      <x:c r="P129" s="32" t="str">
        <x:v>확정 2차</x:v>
      </x:c>
      <x:c r="Q129" s="40" t="d">
        <x:v>2026-10-02T00:00:00.000Z</x:v>
      </x:c>
      <x:c r="R129" s="32" t="str">
        <x:v>2026</x:v>
      </x:c>
      <x:c r="S129" s="21" t="str">
        <x:v>Tokyo Metro</x:v>
      </x:c>
      <x:c r="T129" s="42" t="str">
        <x:v>https://www.tokyometro.jp/lang_en/ticket/types/regular/index.html</x:v>
      </x:c>
      <x:c r="U129" s="21" t="str">
        <x:v>이동거리별 종이 승차권 요금</x:v>
      </x:c>
    </x:row>
    <x:row r="130" ht="34" customHeight="1">
      <x:c r="A130" s="33" t="str">
        <x:v>TYO-TR-006</x:v>
      </x:c>
      <x:c r="B130" s="33" t="str">
        <x:v>일본</x:v>
      </x:c>
      <x:c r="C130" s="33" t="str">
        <x:v>도쿄</x:v>
      </x:c>
      <x:c r="D130" s="33" t="str">
        <x:v>교통</x:v>
      </x:c>
      <x:c r="E130" s="33" t="str">
        <x:v>지하철 1회권</x:v>
      </x:c>
      <x:c r="F130" s="22" t="str">
        <x:v>도에이 지하철 보통권</x:v>
      </x:c>
      <x:c r="G130" s="22" t="str">
        <x:v>Toei Subway Regular Fare</x:v>
      </x:c>
      <x:c r="H130" s="39" t="n">
        <x:v>180</x:v>
      </x:c>
      <x:c r="I130" s="39" t="n">
        <x:v>430</x:v>
      </x:c>
      <x:c r="J130" s="33" t="str">
        <x:v>JPY</x:v>
      </x:c>
      <x:c r="K130" s="33" t="str">
        <x:v>성인 1인 1회</x:v>
      </x:c>
      <x:c r="L130" s="33" t="str">
        <x:v>거리형</x:v>
      </x:c>
      <x:c r="M130" s="33" t="str">
        <x:v>일반</x:v>
      </x:c>
      <x:c r="N130" s="33" t="str">
        <x:v>A 공식</x:v>
      </x:c>
      <x:c r="O130" s="33" t="str">
        <x:v>예</x:v>
      </x:c>
      <x:c r="P130" s="33" t="str">
        <x:v>확정 2차</x:v>
      </x:c>
      <x:c r="Q130" s="41" t="d">
        <x:v>2026-10-02T00:00:00.000Z</x:v>
      </x:c>
      <x:c r="R130" s="33" t="str">
        <x:v>2026</x:v>
      </x:c>
      <x:c r="S130" s="22" t="str">
        <x:v>Tokyo Metropolitan Bureau of Transportation</x:v>
      </x:c>
      <x:c r="T130" s="43" t="str">
        <x:v>https://www.kotsu.metro.tokyo.jp/subway/fare/regular.html</x:v>
      </x:c>
      <x:c r="U130" s="22" t="str">
        <x:v>이동거리별 종이 승차권 요금</x:v>
      </x:c>
    </x:row>
    <x:row r="131" ht="34" customHeight="1">
      <x:c r="A131" s="32" t="str">
        <x:v>TYO-TR-007</x:v>
      </x:c>
      <x:c r="B131" s="32" t="str">
        <x:v>일본</x:v>
      </x:c>
      <x:c r="C131" s="32" t="str">
        <x:v>도쿄</x:v>
      </x:c>
      <x:c r="D131" s="32" t="str">
        <x:v>교통</x:v>
      </x:c>
      <x:c r="E131" s="32" t="str">
        <x:v>버스 1회권</x:v>
      </x:c>
      <x:c r="F131" s="21" t="str">
        <x:v>도에이 버스 23구 일반요금</x:v>
      </x:c>
      <x:c r="G131" s="21" t="str">
        <x:v>Toei Bus Tokyo 23 Wards Regular Fare</x:v>
      </x:c>
      <x:c r="H131" s="38" t="n">
        <x:v>210</x:v>
      </x:c>
      <x:c r="I131" s="38" t="n">
        <x:v>210</x:v>
      </x:c>
      <x:c r="J131" s="32" t="str">
        <x:v>JPY</x:v>
      </x:c>
      <x:c r="K131" s="32" t="str">
        <x:v>성인 1인 1회</x:v>
      </x:c>
      <x:c r="L131" s="32" t="str">
        <x:v>고정형</x:v>
      </x:c>
      <x:c r="M131" s="32" t="str">
        <x:v>일반</x:v>
      </x:c>
      <x:c r="N131" s="32" t="str">
        <x:v>A 공식</x:v>
      </x:c>
      <x:c r="O131" s="32" t="str">
        <x:v>예</x:v>
      </x:c>
      <x:c r="P131" s="32" t="str">
        <x:v>확정 2차</x:v>
      </x:c>
      <x:c r="Q131" s="40" t="d">
        <x:v>2026-10-02T00:00:00.000Z</x:v>
      </x:c>
      <x:c r="R131" s="32" t="str">
        <x:v>2026</x:v>
      </x:c>
      <x:c r="S131" s="21" t="str">
        <x:v>Tokyo Metropolitan Bureau of Transportation</x:v>
      </x:c>
      <x:c r="T131" s="42" t="str">
        <x:v>https://www.kotsu.metro.tokyo.jp/bus/fare/regular.html</x:v>
      </x:c>
      <x:c r="U131" s="21" t="str">
        <x:v>일반 계통 성인 균일요금</x:v>
      </x:c>
    </x:row>
    <x:row r="132" ht="34" customHeight="1">
      <x:c r="A132" s="33" t="str">
        <x:v>TPE-TR-004</x:v>
      </x:c>
      <x:c r="B132" s="33" t="str">
        <x:v>대만</x:v>
      </x:c>
      <x:c r="C132" s="33" t="str">
        <x:v>타이베이</x:v>
      </x:c>
      <x:c r="D132" s="33" t="str">
        <x:v>교통</x:v>
      </x:c>
      <x:c r="E132" s="33" t="str">
        <x:v>도시철도 1회권</x:v>
      </x:c>
      <x:c r="F132" s="22" t="str">
        <x:v>타이베이 MRT 단일 여정권</x:v>
      </x:c>
      <x:c r="G132" s="22" t="str">
        <x:v>Taipei Metro Single-Journey Ticket</x:v>
      </x:c>
      <x:c r="H132" s="39" t="n">
        <x:v>20</x:v>
      </x:c>
      <x:c r="I132" s="39" t="n">
        <x:v>65</x:v>
      </x:c>
      <x:c r="J132" s="33" t="str">
        <x:v>TWD</x:v>
      </x:c>
      <x:c r="K132" s="33" t="str">
        <x:v>성인 1인 1회</x:v>
      </x:c>
      <x:c r="L132" s="33" t="str">
        <x:v>거리형</x:v>
      </x:c>
      <x:c r="M132" s="33" t="str">
        <x:v>일반</x:v>
      </x:c>
      <x:c r="N132" s="33" t="str">
        <x:v>A 공식</x:v>
      </x:c>
      <x:c r="O132" s="33" t="str">
        <x:v>예</x:v>
      </x:c>
      <x:c r="P132" s="33" t="str">
        <x:v>확정 2차</x:v>
      </x:c>
      <x:c r="Q132" s="41" t="d">
        <x:v>2026-10-02T00:00:00.000Z</x:v>
      </x:c>
      <x:c r="R132" s="33" t="str">
        <x:v>2026</x:v>
      </x:c>
      <x:c r="S132" s="22" t="str">
        <x:v>Taipei Metro</x:v>
      </x:c>
      <x:c r="T132" s="43" t="str">
        <x:v>https://english.metro.taipei/cp.aspx?n=BECC2E7AC426F659&amp;s=0EE224E8BA770C16</x:v>
      </x:c>
      <x:c r="U132" s="22" t="str">
        <x:v>이동거리별 단일 여정 요금</x:v>
      </x:c>
    </x:row>
    <x:row r="133" ht="34" customHeight="1">
      <x:c r="A133" s="32" t="str">
        <x:v>TPE-TR-005</x:v>
      </x:c>
      <x:c r="B133" s="32" t="str">
        <x:v>대만</x:v>
      </x:c>
      <x:c r="C133" s="32" t="str">
        <x:v>타이베이</x:v>
      </x:c>
      <x:c r="D133" s="32" t="str">
        <x:v>교통</x:v>
      </x:c>
      <x:c r="E133" s="32" t="str">
        <x:v>버스 1회권</x:v>
      </x:c>
      <x:c r="F133" s="21" t="str">
        <x:v>타이베이 시내버스 1구간 일반요금</x:v>
      </x:c>
      <x:c r="G133" s="21" t="str">
        <x:v>Taipei City Bus Adult One-Section Fare</x:v>
      </x:c>
      <x:c r="H133" s="38" t="n">
        <x:v>15</x:v>
      </x:c>
      <x:c r="I133" s="38" t="n">
        <x:v>15</x:v>
      </x:c>
      <x:c r="J133" s="32" t="str">
        <x:v>TWD</x:v>
      </x:c>
      <x:c r="K133" s="32" t="str">
        <x:v>성인 1인 1회</x:v>
      </x:c>
      <x:c r="L133" s="32" t="str">
        <x:v>구간형</x:v>
      </x:c>
      <x:c r="M133" s="32" t="str">
        <x:v>일반</x:v>
      </x:c>
      <x:c r="N133" s="32" t="str">
        <x:v>A 공식</x:v>
      </x:c>
      <x:c r="O133" s="32" t="str">
        <x:v>예</x:v>
      </x:c>
      <x:c r="P133" s="32" t="str">
        <x:v>확정 2차</x:v>
      </x:c>
      <x:c r="Q133" s="40" t="d">
        <x:v>2026-10-02T00:00:00.000Z</x:v>
      </x:c>
      <x:c r="R133" s="32" t="str">
        <x:v>2026</x:v>
      </x:c>
      <x:c r="S133" s="21" t="str">
        <x:v>Greater Taipei Bus</x:v>
      </x:c>
      <x:c r="T133" s="42" t="str">
        <x:v>https://ebus.gov.taipei/RelatedLinks/TicketInfo</x:v>
      </x:c>
      <x:c r="U133" s="21" t="str">
        <x:v>현금·교통카드 동일, 구간 초과 시 추가</x:v>
      </x:c>
    </x:row>
    <x:row r="134" ht="34" customHeight="1">
      <x:c r="A134" s="33" t="str">
        <x:v>TPE-TR-006</x:v>
      </x:c>
      <x:c r="B134" s="33" t="str">
        <x:v>대만</x:v>
      </x:c>
      <x:c r="C134" s="33" t="str">
        <x:v>타이베이</x:v>
      </x:c>
      <x:c r="D134" s="33" t="str">
        <x:v>교통</x:v>
      </x:c>
      <x:c r="E134" s="33" t="str">
        <x:v>곤돌라 1회권</x:v>
      </x:c>
      <x:c r="F134" s="22" t="str">
        <x:v>마오콩 곤돌라 일반 단일권</x:v>
      </x:c>
      <x:c r="G134" s="22" t="str">
        <x:v>Maokong Gondola General Single Trip</x:v>
      </x:c>
      <x:c r="H134" s="39" t="n">
        <x:v>180</x:v>
      </x:c>
      <x:c r="I134" s="39" t="n">
        <x:v>180</x:v>
      </x:c>
      <x:c r="J134" s="33" t="str">
        <x:v>TWD</x:v>
      </x:c>
      <x:c r="K134" s="33" t="str">
        <x:v>성인 1인 1회</x:v>
      </x:c>
      <x:c r="L134" s="33" t="str">
        <x:v>고정형</x:v>
      </x:c>
      <x:c r="M134" s="33" t="str">
        <x:v>일반</x:v>
      </x:c>
      <x:c r="N134" s="33" t="str">
        <x:v>A 공식</x:v>
      </x:c>
      <x:c r="O134" s="33" t="str">
        <x:v>예</x:v>
      </x:c>
      <x:c r="P134" s="33" t="str">
        <x:v>확정 2차</x:v>
      </x:c>
      <x:c r="Q134" s="41" t="n">
        <x:v>46298</x:v>
      </x:c>
      <x:c r="R134" s="33" t="str">
        <x:v>2025-03-03 이후</x:v>
      </x:c>
      <x:c r="S134" s="22" t="str">
        <x:v>Maokong Gondola</x:v>
      </x:c>
      <x:c r="T134" s="43" t="str">
        <x:v>https://www.gondola.taipei/cp.aspx?n=E6E0CD5467B035F9</x:v>
      </x:c>
      <x:c r="U134" s="22" t="str">
        <x:v>v0.4 재확인: 운영기관 최신 요금표의 일반 단일 탑승 TWD 180. 크리스털 객실 추가요금은 별도.</x:v>
      </x:c>
    </x:row>
    <x:row r="135" ht="34" customHeight="1">
      <x:c r="A135" s="32" t="str">
        <x:v>DAD-AT-004</x:v>
      </x:c>
      <x:c r="B135" s="32" t="str">
        <x:v>베트남</x:v>
      </x:c>
      <x:c r="C135" s="32" t="str">
        <x:v>다낭</x:v>
      </x:c>
      <x:c r="D135" s="32" t="str">
        <x:v>관광</x:v>
      </x:c>
      <x:c r="E135" s="32" t="str">
        <x:v>박물관</x:v>
      </x:c>
      <x:c r="F135" s="21" t="str">
        <x:v>다낭 참조각박물관 일반 입장권</x:v>
      </x:c>
      <x:c r="G135" s="21" t="str">
        <x:v>Da Nang Museum of Cham Sculpture Admission</x:v>
      </x:c>
      <x:c r="H135" s="38" t="n">
        <x:v>60000</x:v>
      </x:c>
      <x:c r="I135" s="38" t="n">
        <x:v>60000</x:v>
      </x:c>
      <x:c r="J135" s="32" t="str">
        <x:v>VND</x:v>
      </x:c>
      <x:c r="K135" s="32" t="str">
        <x:v>성인 1인 1회</x:v>
      </x:c>
      <x:c r="L135" s="32" t="str">
        <x:v>고정형</x:v>
      </x:c>
      <x:c r="M135" s="32" t="str">
        <x:v>일반</x:v>
      </x:c>
      <x:c r="N135" s="32" t="str">
        <x:v>A 공식</x:v>
      </x:c>
      <x:c r="O135" s="32" t="str">
        <x:v>예</x:v>
      </x:c>
      <x:c r="P135" s="32" t="str">
        <x:v>확정 3차</x:v>
      </x:c>
      <x:c r="Q135" s="40" t="d">
        <x:v>2026-10-02T00:00:00.000Z</x:v>
      </x:c>
      <x:c r="R135" s="32" t="str">
        <x:v>2026</x:v>
      </x:c>
      <x:c r="S135" s="21" t="str">
        <x:v>Da Nang Museum of Cham Sculpture</x:v>
      </x:c>
      <x:c r="T135" s="42" t="str">
        <x:v>https://chammuseum.vn/view.aspx?ID=45</x:v>
      </x:c>
      <x:c r="U135" s="21" t="str">
        <x:v>박물관 공식 안내의 일반 성인 1회 입장료</x:v>
      </x:c>
    </x:row>
    <x:row r="136" ht="34" customHeight="1">
      <x:c r="A136" s="33" t="str">
        <x:v>PAR-AT-006</x:v>
      </x:c>
      <x:c r="B136" s="33" t="str">
        <x:v>프랑스</x:v>
      </x:c>
      <x:c r="C136" s="33" t="str">
        <x:v>파리</x:v>
      </x:c>
      <x:c r="D136" s="33" t="str">
        <x:v>관광</x:v>
      </x:c>
      <x:c r="E136" s="33" t="str">
        <x:v>랜드마크</x:v>
      </x:c>
      <x:c r="F136" s="22" t="str">
        <x:v>개선문 개인 입장권</x:v>
      </x:c>
      <x:c r="G136" s="22" t="str">
        <x:v>Arc de Triomphe Individual Ticket</x:v>
      </x:c>
      <x:c r="H136" s="39" t="n">
        <x:v>16</x:v>
      </x:c>
      <x:c r="I136" s="39" t="n">
        <x:v>22</x:v>
      </x:c>
      <x:c r="J136" s="33" t="str">
        <x:v>EUR</x:v>
      </x:c>
      <x:c r="K136" s="33" t="str">
        <x:v>성인 1인 1회</x:v>
      </x:c>
      <x:c r="L136" s="33" t="str">
        <x:v>요일/기간형</x:v>
      </x:c>
      <x:c r="M136" s="33" t="str">
        <x:v>일반</x:v>
      </x:c>
      <x:c r="N136" s="33" t="str">
        <x:v>A 공식</x:v>
      </x:c>
      <x:c r="O136" s="33" t="str">
        <x:v>예</x:v>
      </x:c>
      <x:c r="P136" s="33" t="str">
        <x:v>확정 3차</x:v>
      </x:c>
      <x:c r="Q136" s="41" t="n">
        <x:v>46298</x:v>
      </x:c>
      <x:c r="R136" s="33" t="str">
        <x:v>2026</x:v>
      </x:c>
      <x:c r="S136" s="22" t="str">
        <x:v>Arc de Triomphe</x:v>
      </x:c>
      <x:c r="T136" s="43" t="str">
        <x:v>https://www.paris-arc-de-triomphe.fr/en/visit/practical-information</x:v>
      </x:c>
      <x:c r="U136" s="22" t="str">
        <x:v>4~9월 일반 22유로·수요일 16유로; 10~3월 16유로</x:v>
      </x:c>
    </x:row>
    <x:row r="137" ht="34" customHeight="1">
      <x:c r="A137" s="32" t="str">
        <x:v>TPE-TR-007</x:v>
      </x:c>
      <x:c r="B137" s="32" t="str">
        <x:v>대만</x:v>
      </x:c>
      <x:c r="C137" s="32" t="str">
        <x:v>타이베이</x:v>
      </x:c>
      <x:c r="D137" s="32" t="str">
        <x:v>교통</x:v>
      </x:c>
      <x:c r="E137" s="32" t="str">
        <x:v>공유자전거 1회권</x:v>
      </x:c>
      <x:c r="F137" s="21" t="str">
        <x:v>YouBike 2.0 일반 자전거 30분</x:v>
      </x:c>
      <x:c r="G137" s="21" t="str">
        <x:v>YouBike 2.0 Standard Bike 30-Minute Ride</x:v>
      </x:c>
      <x:c r="H137" s="38" t="n">
        <x:v>10</x:v>
      </x:c>
      <x:c r="I137" s="38" t="n">
        <x:v>10</x:v>
      </x:c>
      <x:c r="J137" s="32" t="str">
        <x:v>TWD</x:v>
      </x:c>
      <x:c r="K137" s="32" t="str">
        <x:v>성인 1인 1회(30분)</x:v>
      </x:c>
      <x:c r="L137" s="32" t="str">
        <x:v>고정형</x:v>
      </x:c>
      <x:c r="M137" s="32" t="str">
        <x:v>일반</x:v>
      </x:c>
      <x:c r="N137" s="32" t="str">
        <x:v>A 공식</x:v>
      </x:c>
      <x:c r="O137" s="32" t="str">
        <x:v>예</x:v>
      </x:c>
      <x:c r="P137" s="32" t="str">
        <x:v>확정 3차</x:v>
      </x:c>
      <x:c r="Q137" s="40" t="n">
        <x:v>46298</x:v>
      </x:c>
      <x:c r="R137" s="32" t="str">
        <x:v>2026</x:v>
      </x:c>
      <x:c r="S137" s="21" t="str">
        <x:v>YouBike</x:v>
      </x:c>
      <x:c r="T137" s="42" t="str">
        <x:v>https://en.youbike.com.tw/region/taipei/rate/</x:v>
      </x:c>
      <x:c r="U137" s="21" t="str">
        <x:v>v0.4 재확인: 일회 이용자 기본요금 NT$10/30분; 30분 미만도 30분으로 계산.</x:v>
      </x:c>
    </x:row>
    <x:row r="138" ht="34" customHeight="1">
      <x:c r="A138" s="33" t="str">
        <x:v>LON-TR-005</x:v>
      </x:c>
      <x:c r="B138" s="33" t="str">
        <x:v>영국</x:v>
      </x:c>
      <x:c r="C138" s="33" t="str">
        <x:v>런던</x:v>
      </x:c>
      <x:c r="D138" s="33" t="str">
        <x:v>교통</x:v>
      </x:c>
      <x:c r="E138" s="33" t="str">
        <x:v>공유자전거 1회권</x:v>
      </x:c>
      <x:c r="F138" s="22" t="str">
        <x:v>산탄데르 사이클 일반 자전거 30분</x:v>
      </x:c>
      <x:c r="G138" s="22" t="str">
        <x:v>Santander Cycles Standard Bike 30-Minute Single Ride</x:v>
      </x:c>
      <x:c r="H138" s="39" t="n">
        <x:v>1.65</x:v>
      </x:c>
      <x:c r="I138" s="39" t="n">
        <x:v>1.65</x:v>
      </x:c>
      <x:c r="J138" s="33" t="str">
        <x:v>GBP</x:v>
      </x:c>
      <x:c r="K138" s="33" t="str">
        <x:v>성인 1인 1회(30분)</x:v>
      </x:c>
      <x:c r="L138" s="33" t="str">
        <x:v>고정형</x:v>
      </x:c>
      <x:c r="M138" s="33" t="str">
        <x:v>일반</x:v>
      </x:c>
      <x:c r="N138" s="33" t="str">
        <x:v>A 공식</x:v>
      </x:c>
      <x:c r="O138" s="33" t="str">
        <x:v>예</x:v>
      </x:c>
      <x:c r="P138" s="33" t="str">
        <x:v>확정 3차</x:v>
      </x:c>
      <x:c r="Q138" s="41" t="d">
        <x:v>2026-10-02T00:00:00.000Z</x:v>
      </x:c>
      <x:c r="R138" s="33" t="str">
        <x:v>2026</x:v>
      </x:c>
      <x:c r="S138" s="22" t="str">
        <x:v>Transport for London</x:v>
      </x:c>
      <x:c r="T138" s="43" t="str">
        <x:v>https://tfl.gov.uk/modes/cycling/santander-cycles/what-you-pay</x:v>
      </x:c>
      <x:c r="U138" s="22" t="str">
        <x:v>일반 페달 자전거 30분까지; 초과 30분마다 1.65파운드 추가</x:v>
      </x:c>
    </x:row>
    <x:row r="139" ht="36" customHeight="1">
      <x:c r="A139" s="52" t="str">
        <x:v>BKK-SV-004</x:v>
      </x:c>
      <x:c r="B139" s="52" t="str">
        <x:v>태국</x:v>
      </x:c>
      <x:c r="C139" s="52" t="str">
        <x:v>방콕</x:v>
      </x:c>
      <x:c r="D139" s="52" t="str">
        <x:v>기념품</x:v>
      </x:c>
      <x:c r="E139" s="52" t="str">
        <x:v>패션</x:v>
      </x:c>
      <x:c r="F139" s="54" t="str">
        <x:v>짐 톰슨 타이 시너리 실크 소형 파우치</x:v>
      </x:c>
      <x:c r="G139" s="54" t="str">
        <x:v>Jim Thompson Thai Scenery Silk Small Pouch (Khaki)</x:v>
      </x:c>
      <x:c r="H139" s="52" t="n">
        <x:v>1150</x:v>
      </x:c>
      <x:c r="I139" s="52" t="n">
        <x:v>1150</x:v>
      </x:c>
      <x:c r="J139" s="52" t="str">
        <x:v>THB</x:v>
      </x:c>
      <x:c r="K139" s="52" t="str">
        <x:v>1개</x:v>
      </x:c>
      <x:c r="L139" s="52" t="str">
        <x:v>재고형</x:v>
      </x:c>
      <x:c r="M139" s="52" t="str">
        <x:v>일반</x:v>
      </x:c>
      <x:c r="N139" s="52" t="str">
        <x:v>A 공식</x:v>
      </x:c>
      <x:c r="O139" s="52" t="str">
        <x:v>예</x:v>
      </x:c>
      <x:c r="P139" s="52" t="str">
        <x:v>확정 4차</x:v>
      </x:c>
      <x:c r="Q139" s="53" t="n">
        <x:v>46298</x:v>
      </x:c>
      <x:c r="R139" s="52" t="str">
        <x:v>2026-10-03 재고</x:v>
      </x:c>
      <x:c r="S139" s="52" t="str">
        <x:v>Jim Thompson</x:v>
      </x:c>
      <x:c r="T139" s="52" t="str">
        <x:v>https://www.jimthompson.com/products/thai-scenery-silk-small-pouch-khaki</x:v>
      </x:c>
      <x:c r="U139" s="54" t="str">
        <x:v>v0.4 대체 표본: 이전 컬렉션 상품 대신 공식몰 현재 판매 제품 사용. 확인일 기준 재고 표시.</x:v>
      </x:c>
    </x:row>
    <x:row r="140" ht="36" customHeight="1">
      <x:c r="A140" s="52" t="str">
        <x:v>BKK-SV-005</x:v>
      </x:c>
      <x:c r="B140" s="52" t="str">
        <x:v>태국</x:v>
      </x:c>
      <x:c r="C140" s="52" t="str">
        <x:v>방콕</x:v>
      </x:c>
      <x:c r="D140" s="52" t="str">
        <x:v>기념품</x:v>
      </x:c>
      <x:c r="E140" s="52" t="str">
        <x:v>패션</x:v>
      </x:c>
      <x:c r="F140" s="54" t="str">
        <x:v>짐 톰슨 타이 시너리 코인 카드 지갑</x:v>
      </x:c>
      <x:c r="G140" s="54" t="str">
        <x:v>Jim Thompson Thai Scenery Coin Card Purse (Khaki)</x:v>
      </x:c>
      <x:c r="H140" s="52" t="n">
        <x:v>950</x:v>
      </x:c>
      <x:c r="I140" s="52" t="n">
        <x:v>950</x:v>
      </x:c>
      <x:c r="J140" s="52" t="str">
        <x:v>THB</x:v>
      </x:c>
      <x:c r="K140" s="52" t="str">
        <x:v>1개</x:v>
      </x:c>
      <x:c r="L140" s="52" t="str">
        <x:v>재고형</x:v>
      </x:c>
      <x:c r="M140" s="52" t="str">
        <x:v>일반</x:v>
      </x:c>
      <x:c r="N140" s="52" t="str">
        <x:v>A 공식</x:v>
      </x:c>
      <x:c r="O140" s="52" t="str">
        <x:v>예</x:v>
      </x:c>
      <x:c r="P140" s="52" t="str">
        <x:v>확정 4차</x:v>
      </x:c>
      <x:c r="Q140" s="53" t="n">
        <x:v>46298</x:v>
      </x:c>
      <x:c r="R140" s="52" t="str">
        <x:v>2026-10-03 재고</x:v>
      </x:c>
      <x:c r="S140" s="52" t="str">
        <x:v>Jim Thompson</x:v>
      </x:c>
      <x:c r="T140" s="52" t="str">
        <x:v>https://www.jimthompson.com/products/thai-scenery-coin-card-purse-khaki</x:v>
      </x:c>
      <x:c r="U140" s="54" t="str">
        <x:v>v0.4 대체 표본: 이전 컬렉션 상품 대신 공식몰 현재 판매 제품 사용. 확인일 기준 재고 표시.</x:v>
      </x:c>
    </x:row>
    <x:row r="141" ht="36" customHeight="1">
      <x:c r="A141" t="str">
        <x:v>BKK-SV-006</x:v>
      </x:c>
      <x:c r="B141" t="str">
        <x:v>태국</x:v>
      </x:c>
      <x:c r="C141" t="str">
        <x:v>방콕</x:v>
      </x:c>
      <x:c r="D141" t="str">
        <x:v>기념품</x:v>
      </x:c>
      <x:c r="E141" t="str">
        <x:v>잡화</x:v>
      </x:c>
      <x:c r="F141" t="str">
        <x:v>왓 아룬 디자인 자석</x:v>
      </x:c>
      <x:c r="G141" t="str">
        <x:v>Bangkok Solid Magnet Deco Wat Arun</x:v>
      </x:c>
      <x:c r="H141" s="55" t="n">
        <x:v>195</x:v>
      </x:c>
      <x:c r="I141" s="55" t="n">
        <x:v>195</x:v>
      </x:c>
      <x:c r="J141" t="str">
        <x:v>THB</x:v>
      </x:c>
      <x:c r="K141" t="str">
        <x:v>1개</x:v>
      </x:c>
      <x:c r="L141" t="str">
        <x:v>고정형</x:v>
      </x:c>
      <x:c r="M141" t="str">
        <x:v>일반</x:v>
      </x:c>
      <x:c r="N141" t="str">
        <x:v>A 공식</x:v>
      </x:c>
      <x:c r="O141" t="str">
        <x:v>예</x:v>
      </x:c>
      <x:c r="P141" t="str">
        <x:v>확정 1차</x:v>
      </x:c>
      <x:c r="Q141" s="51" t="n">
        <x:v>46298</x:v>
      </x:c>
      <x:c r="R141" t="str">
        <x:v>현재 공식 판매가</x:v>
      </x:c>
      <x:c r="S141" t="str">
        <x:v>SIAM MAGNET</x:v>
      </x:c>
      <x:c r="T141" t="str">
        <x:v>https://siammagnet.co.th/en/products/12</x:v>
      </x:c>
      <x:c r="U141" s="23" t="str">
        <x:v>방콕 명소 디자인 기념 자석. 공식 판매 페이지 표시가 ฿195</x:v>
      </x:c>
    </x:row>
    <x:row r="142" ht="36" customHeight="1">
      <x:c r="A142" t="str">
        <x:v>DAD-FD-005</x:v>
      </x:c>
      <x:c r="B142" t="str">
        <x:v>베트남</x:v>
      </x:c>
      <x:c r="C142" t="str">
        <x:v>다낭</x:v>
      </x:c>
      <x:c r="D142" t="str">
        <x:v>외식</x:v>
      </x:c>
      <x:c r="E142" t="str">
        <x:v>중가 한끼</x:v>
      </x:c>
      <x:c r="F142" t="str">
        <x:v>GOD 레스토랑 치킨 포</x:v>
      </x:c>
      <x:c r="G142" t="str">
        <x:v>GOD Restaurant Chicken Pho</x:v>
      </x:c>
      <x:c r="H142" s="55" t="n">
        <x:v>150000</x:v>
      </x:c>
      <x:c r="I142" s="55" t="n">
        <x:v>150000</x:v>
      </x:c>
      <x:c r="J142" t="str">
        <x:v>VND</x:v>
      </x:c>
      <x:c r="K142" t="str">
        <x:v>1그릇</x:v>
      </x:c>
      <x:c r="L142" t="str">
        <x:v>고정형</x:v>
      </x:c>
      <x:c r="M142" t="str">
        <x:v>일반</x:v>
      </x:c>
      <x:c r="N142" t="str">
        <x:v>A 공식</x:v>
      </x:c>
      <x:c r="O142" t="str">
        <x:v>예</x:v>
      </x:c>
      <x:c r="P142" t="str">
        <x:v>확정 1차</x:v>
      </x:c>
      <x:c r="Q142" s="51" t="n">
        <x:v>46298</x:v>
      </x:c>
      <x:c r="R142" t="str">
        <x:v>현재 공식 메뉴</x:v>
      </x:c>
      <x:c r="S142" t="str">
        <x:v>GOD Restaurant</x:v>
      </x:c>
      <x:c r="T142" t="str">
        <x:v>https://godrestaurant.com/menu/</x:v>
      </x:c>
      <x:c r="U142" s="23" t="str">
        <x:v>공식 메뉴 원가격 150,000 VND</x:v>
      </x:c>
    </x:row>
    <x:row r="143" ht="36" customHeight="1">
      <x:c r="A143" t="str">
        <x:v>DAD-FD-006</x:v>
      </x:c>
      <x:c r="B143" t="str">
        <x:v>베트남</x:v>
      </x:c>
      <x:c r="C143" t="str">
        <x:v>다낭</x:v>
      </x:c>
      <x:c r="D143" t="str">
        <x:v>외식</x:v>
      </x:c>
      <x:c r="E143" t="str">
        <x:v>중가 한끼</x:v>
      </x:c>
      <x:c r="F143" t="str">
        <x:v>Pizza 4P’s 마르게리타 피자</x:v>
      </x:c>
      <x:c r="G143" t="str">
        <x:v>Pizza 4P’s Margherita Pizza</x:v>
      </x:c>
      <x:c r="H143" s="55" t="n">
        <x:v>168000</x:v>
      </x:c>
      <x:c r="I143" s="55" t="n">
        <x:v>168000</x:v>
      </x:c>
      <x:c r="J143" t="str">
        <x:v>VND</x:v>
      </x:c>
      <x:c r="K143" t="str">
        <x:v>1개</x:v>
      </x:c>
      <x:c r="L143" t="str">
        <x:v>고정형</x:v>
      </x:c>
      <x:c r="M143" t="str">
        <x:v>일반</x:v>
      </x:c>
      <x:c r="N143" t="str">
        <x:v>A 공식</x:v>
      </x:c>
      <x:c r="O143" t="str">
        <x:v>예</x:v>
      </x:c>
      <x:c r="P143" t="str">
        <x:v>확정 1차</x:v>
      </x:c>
      <x:c r="Q143" s="51" t="n">
        <x:v>46298</x:v>
      </x:c>
      <x:c r="R143" t="str">
        <x:v>현재 공식 메뉴</x:v>
      </x:c>
      <x:c r="S143" t="str">
        <x:v>Pizza 4P’s</x:v>
      </x:c>
      <x:c r="T143" t="str">
        <x:v>https://pizza4ps.com/vn/menu/?lang=english</x:v>
      </x:c>
      <x:c r="U143" s="23" t="str">
        <x:v>베트남 공식 메뉴 원가격 168,000 VND. 다낭 지점 운영 브랜드</x:v>
      </x:c>
    </x:row>
    <x:row r="144" ht="36" customHeight="1">
      <x:c r="A144" t="str">
        <x:v>TPE-FD-004</x:v>
      </x:c>
      <x:c r="B144" t="str">
        <x:v>대만</x:v>
      </x:c>
      <x:c r="C144" t="str">
        <x:v>타이베이</x:v>
      </x:c>
      <x:c r="D144" t="str">
        <x:v>외식</x:v>
      </x:c>
      <x:c r="E144" t="str">
        <x:v>중가 한끼</x:v>
      </x:c>
      <x:c r="F144" t="str">
        <x:v>유키치 라멘 오리지널 하카타 돈코츠 라멘</x:v>
      </x:c>
      <x:c r="G144" t="str">
        <x:v>Yukichi Original Hakata Tonkotsu Ramen</x:v>
      </x:c>
      <x:c r="H144" s="55" t="n">
        <x:v>230</x:v>
      </x:c>
      <x:c r="I144" s="55" t="n">
        <x:v>230</x:v>
      </x:c>
      <x:c r="J144" t="str">
        <x:v>TWD</x:v>
      </x:c>
      <x:c r="K144" t="str">
        <x:v>1그릇</x:v>
      </x:c>
      <x:c r="L144" t="str">
        <x:v>고정형</x:v>
      </x:c>
      <x:c r="M144" t="str">
        <x:v>일반</x:v>
      </x:c>
      <x:c r="N144" t="str">
        <x:v>A 공식</x:v>
      </x:c>
      <x:c r="O144" t="str">
        <x:v>예</x:v>
      </x:c>
      <x:c r="P144" t="str">
        <x:v>확정 1차</x:v>
      </x:c>
      <x:c r="Q144" s="51" t="n">
        <x:v>46298</x:v>
      </x:c>
      <x:c r="R144" t="str">
        <x:v>2026 메뉴</x:v>
      </x:c>
      <x:c r="S144" t="str">
        <x:v>Yukichi Ramen Taipei</x:v>
      </x:c>
      <x:c r="T144" t="str">
        <x:v>https://yukichiramen.com/taiwan/%E8%8F%9C%E5%96%AE/</x:v>
      </x:c>
      <x:c r="U144" s="23" t="str">
        <x:v>타이베이점 공식 메뉴 NT$230</x:v>
      </x:c>
    </x:row>
    <x:row r="145" ht="36" customHeight="1">
      <x:c r="A145" t="str">
        <x:v>TPE-FD-005</x:v>
      </x:c>
      <x:c r="B145" t="str">
        <x:v>대만</x:v>
      </x:c>
      <x:c r="C145" t="str">
        <x:v>타이베이</x:v>
      </x:c>
      <x:c r="D145" t="str">
        <x:v>외식</x:v>
      </x:c>
      <x:c r="E145" t="str">
        <x:v>중가 한끼</x:v>
      </x:c>
      <x:c r="F145" t="str">
        <x:v>단춘진 클래식 소고기 사태 국수</x:v>
      </x:c>
      <x:c r="G145" t="str">
        <x:v>Duan Chun Zhen Classic Beef Shank Noodle Soup</x:v>
      </x:c>
      <x:c r="H145" s="55" t="n">
        <x:v>290</x:v>
      </x:c>
      <x:c r="I145" s="55" t="n">
        <x:v>290</x:v>
      </x:c>
      <x:c r="J145" t="str">
        <x:v>TWD</x:v>
      </x:c>
      <x:c r="K145" t="str">
        <x:v>1그릇</x:v>
      </x:c>
      <x:c r="L145" t="str">
        <x:v>고정형</x:v>
      </x:c>
      <x:c r="M145" t="str">
        <x:v>일반</x:v>
      </x:c>
      <x:c r="N145" t="str">
        <x:v>A 공식</x:v>
      </x:c>
      <x:c r="O145" t="str">
        <x:v>예</x:v>
      </x:c>
      <x:c r="P145" t="str">
        <x:v>확정 1차</x:v>
      </x:c>
      <x:c r="Q145" s="51" t="n">
        <x:v>46298</x:v>
      </x:c>
      <x:c r="R145" t="str">
        <x:v>현재 공식 메뉴</x:v>
      </x:c>
      <x:c r="S145" t="str">
        <x:v>Duan Chun Zhen</x:v>
      </x:c>
      <x:c r="T145" t="str">
        <x:v>https://www.duanchunzhen.com/menu/</x:v>
      </x:c>
      <x:c r="U145" s="23" t="str">
        <x:v>클래식 맛 소고기 사태 국수 공식 메뉴 NT$290</x:v>
      </x:c>
    </x:row>
    <x:row r="146" ht="36" customHeight="1">
      <x:c r="A146" t="str">
        <x:v>SIN-FD-006</x:v>
      </x:c>
      <x:c r="B146" t="str">
        <x:v>싱가포르</x:v>
      </x:c>
      <x:c r="C146" t="str">
        <x:v>싱가포르</x:v>
      </x:c>
      <x:c r="D146" t="str">
        <x:v>외식</x:v>
      </x:c>
      <x:c r="E146" t="str">
        <x:v>저가 한끼</x:v>
      </x:c>
      <x:c r="F146" t="str">
        <x:v>양스 하이난 치킨라이스 미디엄 팩</x:v>
      </x:c>
      <x:c r="G146" t="str">
        <x:v>Yang’s Hainanese Chicken Rice Medium Pack</x:v>
      </x:c>
      <x:c r="H146" s="55" t="n">
        <x:v>6</x:v>
      </x:c>
      <x:c r="I146" s="55" t="n">
        <x:v>6</x:v>
      </x:c>
      <x:c r="J146" t="str">
        <x:v>SGD</x:v>
      </x:c>
      <x:c r="K146" t="str">
        <x:v>1팩</x:v>
      </x:c>
      <x:c r="L146" t="str">
        <x:v>고정형</x:v>
      </x:c>
      <x:c r="M146" t="str">
        <x:v>일반</x:v>
      </x:c>
      <x:c r="N146" t="str">
        <x:v>A 공식</x:v>
      </x:c>
      <x:c r="O146" t="str">
        <x:v>예</x:v>
      </x:c>
      <x:c r="P146" t="str">
        <x:v>확정 1차</x:v>
      </x:c>
      <x:c r="Q146" s="51" t="n">
        <x:v>46298</x:v>
      </x:c>
      <x:c r="R146" t="str">
        <x:v>현재 공식 메뉴</x:v>
      </x:c>
      <x:c r="S146" t="str">
        <x:v>Yang’s Hainanese Chicken Rice</x:v>
      </x:c>
      <x:c r="T146" t="str">
        <x:v>https://www.ykn.com.sg/product/</x:v>
      </x:c>
      <x:c r="U146" s="23" t="str">
        <x:v>찜 또는 로스트 치킨라이스 미디엄 1팩 S$6.00</x:v>
      </x:c>
    </x:row>
    <x:row r="147" ht="36" customHeight="1">
      <x:c r="A147" t="str">
        <x:v>SIN-FD-007</x:v>
      </x:c>
      <x:c r="B147" t="str">
        <x:v>싱가포르</x:v>
      </x:c>
      <x:c r="C147" t="str">
        <x:v>싱가포르</x:v>
      </x:c>
      <x:c r="D147" t="str">
        <x:v>외식</x:v>
      </x:c>
      <x:c r="E147" t="str">
        <x:v>저가 한끼</x:v>
      </x:c>
      <x:c r="F147" t="str">
        <x:v>아스피라시 치킨 볶음밥</x:v>
      </x:c>
      <x:c r="G147" t="str">
        <x:v>Aspirasi Fried Rice with Chicken</x:v>
      </x:c>
      <x:c r="H147" s="55" t="n">
        <x:v>7.3</x:v>
      </x:c>
      <x:c r="I147" s="55" t="n">
        <x:v>7.3</x:v>
      </x:c>
      <x:c r="J147" t="str">
        <x:v>SGD</x:v>
      </x:c>
      <x:c r="K147" t="str">
        <x:v>1인분</x:v>
      </x:c>
      <x:c r="L147" t="str">
        <x:v>고정형</x:v>
      </x:c>
      <x:c r="M147" t="str">
        <x:v>일반</x:v>
      </x:c>
      <x:c r="N147" t="str">
        <x:v>A 공식</x:v>
      </x:c>
      <x:c r="O147" t="str">
        <x:v>예</x:v>
      </x:c>
      <x:c r="P147" t="str">
        <x:v>확정 1차</x:v>
      </x:c>
      <x:c r="Q147" s="51" t="n">
        <x:v>46298</x:v>
      </x:c>
      <x:c r="R147" t="str">
        <x:v>현재 공식 메뉴</x:v>
      </x:c>
      <x:c r="S147" t="str">
        <x:v>Aspirasi Food Galore</x:v>
      </x:c>
      <x:c r="T147" t="str">
        <x:v>https://aspirasifoodgalore.com.sg/</x:v>
      </x:c>
      <x:c r="U147" s="23" t="str">
        <x:v>판매자 공식 주문 메뉴 원가격 S$7.30</x:v>
      </x:c>
    </x:row>
    <x:row r="148" ht="36" customHeight="1">
      <x:c r="A148" t="str">
        <x:v>SIN-FD-008</x:v>
      </x:c>
      <x:c r="B148" t="str">
        <x:v>싱가포르</x:v>
      </x:c>
      <x:c r="C148" t="str">
        <x:v>싱가포르</x:v>
      </x:c>
      <x:c r="D148" t="str">
        <x:v>외식</x:v>
      </x:c>
      <x:c r="E148" t="str">
        <x:v>중가 한끼</x:v>
      </x:c>
      <x:c r="F148" t="str">
        <x:v>티옹바루 하이난 치킨라이스</x:v>
      </x:c>
      <x:c r="G148" t="str">
        <x:v>Tiong Bahru Hainanese Chicken Rice</x:v>
      </x:c>
      <x:c r="H148" s="55" t="n">
        <x:v>14</x:v>
      </x:c>
      <x:c r="I148" s="55" t="n">
        <x:v>14</x:v>
      </x:c>
      <x:c r="J148" t="str">
        <x:v>SGD</x:v>
      </x:c>
      <x:c r="K148" t="str">
        <x:v>1인분</x:v>
      </x:c>
      <x:c r="L148" t="str">
        <x:v>고정형</x:v>
      </x:c>
      <x:c r="M148" t="str">
        <x:v>일반</x:v>
      </x:c>
      <x:c r="N148" t="str">
        <x:v>A 공식</x:v>
      </x:c>
      <x:c r="O148" t="str">
        <x:v>예</x:v>
      </x:c>
      <x:c r="P148" t="str">
        <x:v>확정 1차</x:v>
      </x:c>
      <x:c r="Q148" s="51" t="n">
        <x:v>46298</x:v>
      </x:c>
      <x:c r="R148" t="str">
        <x:v>현재 공식 메뉴</x:v>
      </x:c>
      <x:c r="S148" t="str">
        <x:v>Tiong Bahru Hainanese Chicken Rice</x:v>
      </x:c>
      <x:c r="T148" t="str">
        <x:v>https://www.tiongbahruchickenrice.sg/menu/</x:v>
      </x:c>
      <x:c r="U148" s="23" t="str">
        <x:v>공식 메뉴 S$14.00; 세금 및 서비스료 별도</x:v>
      </x:c>
    </x:row>
    <x:row r="149" ht="36" customHeight="1">
      <x:c r="A149" t="str">
        <x:v>SIN-SV-004</x:v>
      </x:c>
      <x:c r="B149" t="str">
        <x:v>싱가포르</x:v>
      </x:c>
      <x:c r="C149" t="str">
        <x:v>싱가포르</x:v>
      </x:c>
      <x:c r="D149" t="str">
        <x:v>기념품</x:v>
      </x:c>
      <x:c r="E149" t="str">
        <x:v>식품</x:v>
      </x:c>
      <x:c r="F149" t="str">
        <x:v>IRVINS 솔티드에그 토마토 피시스킨 80g</x:v>
      </x:c>
      <x:c r="G149" t="str">
        <x:v>IRVINS Salted Egg Tomato Flavoured Fish Skin 80g</x:v>
      </x:c>
      <x:c r="H149" s="55" t="n">
        <x:v>8</x:v>
      </x:c>
      <x:c r="I149" s="55" t="n">
        <x:v>8</x:v>
      </x:c>
      <x:c r="J149" t="str">
        <x:v>SGD</x:v>
      </x:c>
      <x:c r="K149" t="str">
        <x:v>1팩</x:v>
      </x:c>
      <x:c r="L149" t="str">
        <x:v>고정형</x:v>
      </x:c>
      <x:c r="M149" t="str">
        <x:v>일반</x:v>
      </x:c>
      <x:c r="N149" t="str">
        <x:v>A 공식</x:v>
      </x:c>
      <x:c r="O149" t="str">
        <x:v>예</x:v>
      </x:c>
      <x:c r="P149" t="str">
        <x:v>확정 1차</x:v>
      </x:c>
      <x:c r="Q149" s="51" t="n">
        <x:v>46298</x:v>
      </x:c>
      <x:c r="R149" t="str">
        <x:v>현재 공식 판매가</x:v>
      </x:c>
      <x:c r="S149" t="str">
        <x:v>IRVINS</x:v>
      </x:c>
      <x:c r="T149" t="str">
        <x:v>https://eatirvins.sg/products/irvins-salted-egg-tomato-flavoured-fish-skin-80g</x:v>
      </x:c>
      <x:c r="U149" s="23" t="str">
        <x:v>싱가포르 판매자 공식몰 표시가 S$8.00</x:v>
      </x:c>
    </x:row>
    <x:row r="150" ht="36" customHeight="1">
      <x:c r="A150" t="str">
        <x:v>SEL-TR-001</x:v>
      </x:c>
      <x:c r="B150" t="str">
        <x:v>한국</x:v>
      </x:c>
      <x:c r="C150" t="str">
        <x:v>서울</x:v>
      </x:c>
      <x:c r="D150" t="str">
        <x:v>교통</x:v>
      </x:c>
      <x:c r="E150" t="str">
        <x:v>지하철 1회권</x:v>
      </x:c>
      <x:c r="F150" t="str">
        <x:v>서울 지하철 기본요금 (카드)</x:v>
      </x:c>
      <x:c r="G150" t="str">
        <x:v>Seoul Subway Base Fare (Card)</x:v>
      </x:c>
      <x:c r="H150" s="55" t="n">
        <x:v>1550</x:v>
      </x:c>
      <x:c r="I150" s="55" t="n">
        <x:v>1550</x:v>
      </x:c>
      <x:c r="J150" t="str">
        <x:v>KRW</x:v>
      </x:c>
      <x:c r="K150" t="str">
        <x:v>성인 1인 1회</x:v>
      </x:c>
      <x:c r="L150" t="str">
        <x:v>거리형</x:v>
      </x:c>
      <x:c r="M150" t="str">
        <x:v>일반</x:v>
      </x:c>
      <x:c r="N150" t="str">
        <x:v>A 공식</x:v>
      </x:c>
      <x:c r="O150" t="str">
        <x:v>예</x:v>
      </x:c>
      <x:c r="P150" t="str">
        <x:v>확정 1차</x:v>
      </x:c>
      <x:c r="Q150" s="51" t="n">
        <x:v>46298</x:v>
      </x:c>
      <x:c r="R150" t="str">
        <x:v>2025-06-28 이후</x:v>
      </x:c>
      <x:c r="S150" t="str">
        <x:v>서울교통공사</x:v>
      </x:c>
      <x:c r="T150" t="str">
        <x:v>http://www.seoulmetro.co.kr/kr/page.do?menuIdx=354</x:v>
      </x:c>
      <x:c r="U150" s="23" t="str">
        <x:v>10km 이내 교통카드 기본운임 1,550원. 1회권 현금운임은 1,650원으로 별도</x:v>
      </x:c>
    </x:row>
    <x:row r="151" ht="36" customHeight="1">
      <x:c r="A151" t="str">
        <x:v>SEL-TR-004</x:v>
      </x:c>
      <x:c r="B151" t="str">
        <x:v>한국</x:v>
      </x:c>
      <x:c r="C151" t="str">
        <x:v>서울</x:v>
      </x:c>
      <x:c r="D151" t="str">
        <x:v>교통</x:v>
      </x:c>
      <x:c r="E151" t="str">
        <x:v>무제한권</x:v>
      </x:c>
      <x:c r="F151" t="str">
        <x:v>기후동행카드 관광권 1일권</x:v>
      </x:c>
      <x:c r="G151" t="str">
        <x:v>Climate Card Tourist Pass 1-Day</x:v>
      </x:c>
      <x:c r="H151" s="55" t="n">
        <x:v>5000</x:v>
      </x:c>
      <x:c r="I151" s="55" t="n">
        <x:v>5000</x:v>
      </x:c>
      <x:c r="J151" t="str">
        <x:v>KRW</x:v>
      </x:c>
      <x:c r="K151" t="str">
        <x:v>성인 1인 1일</x:v>
      </x:c>
      <x:c r="L151" t="str">
        <x:v>고정형</x:v>
      </x:c>
      <x:c r="M151" t="str">
        <x:v>일반</x:v>
      </x:c>
      <x:c r="N151" t="str">
        <x:v>A 공식</x:v>
      </x:c>
      <x:c r="O151" t="str">
        <x:v>예</x:v>
      </x:c>
      <x:c r="P151" t="str">
        <x:v>확정 1차</x:v>
      </x:c>
      <x:c r="Q151" s="51" t="n">
        <x:v>46298</x:v>
      </x:c>
      <x:c r="R151" t="str">
        <x:v>2024-07-01 이후</x:v>
      </x:c>
      <x:c r="S151" t="str">
        <x:v>서울특별시 기후동행카드 안내</x:v>
      </x:c>
      <x:c r="T151" t="str">
        <x:v>https://news.seoul.go.kr/traffic/archives/510651</x:v>
      </x:c>
      <x:c r="U151" s="23" t="str">
        <x:v>단기권 1일권 5,000원. 따릉이·한강버스 미포함. 이전 CSV URL은 안전경영 안내로 연결되어 출처를 교체</x:v>
      </x:c>
    </x:row>
    <x:row r="152" ht="36" customHeight="1">
      <x:c r="A152" t="str">
        <x:v>SEL-AT-004</x:v>
      </x:c>
      <x:c r="B152" t="str">
        <x:v>한국</x:v>
      </x:c>
      <x:c r="C152" t="str">
        <x:v>서울</x:v>
      </x:c>
      <x:c r="D152" t="str">
        <x:v>관광</x:v>
      </x:c>
      <x:c r="E152" t="str">
        <x:v>전망대</x:v>
      </x:c>
      <x:c r="F152" t="str">
        <x:v>N서울타워 전망대 입장권 (대인)</x:v>
      </x:c>
      <x:c r="G152" t="str">
        <x:v>N Seoul Tower Observatory (Adult)</x:v>
      </x:c>
      <x:c r="H152" s="55" t="n">
        <x:v>29000</x:v>
      </x:c>
      <x:c r="I152" s="55" t="n">
        <x:v>29000</x:v>
      </x:c>
      <x:c r="J152" t="str">
        <x:v>KRW</x:v>
      </x:c>
      <x:c r="K152" t="str">
        <x:v>성인 1인</x:v>
      </x:c>
      <x:c r="L152" t="str">
        <x:v>고정형</x:v>
      </x:c>
      <x:c r="M152" t="str">
        <x:v>성인 만 13세 이상</x:v>
      </x:c>
      <x:c r="N152" t="str">
        <x:v>A 공식</x:v>
      </x:c>
      <x:c r="O152" t="str">
        <x:v>예</x:v>
      </x:c>
      <x:c r="P152" t="str">
        <x:v>확정 1차</x:v>
      </x:c>
      <x:c r="Q152" s="51" t="n">
        <x:v>46298</x:v>
      </x:c>
      <x:c r="R152" t="str">
        <x:v>2026-10-03 확인</x:v>
      </x:c>
      <x:c r="S152" t="str">
        <x:v>N SEOUL TOWER</x:v>
      </x:c>
      <x:c r="T152" t="str">
        <x:v>https://www.nseoultower.co.kr/eng/visit/use2.asp</x:v>
      </x:c>
      <x:c r="U152" s="23" t="str">
        <x:v>공식 입장안내 성인 요금 ₩29,000. 기존 ₩21,000 및 안내 URL 불일치 수정</x:v>
      </x:c>
    </x:row>
    <x:row r="153" ht="36" customHeight="1">
      <x:c r="A153" t="str">
        <x:v>SEL-AT-005</x:v>
      </x:c>
      <x:c r="B153" t="str">
        <x:v>한국</x:v>
      </x:c>
      <x:c r="C153" t="str">
        <x:v>서울</x:v>
      </x:c>
      <x:c r="D153" t="str">
        <x:v>관광</x:v>
      </x:c>
      <x:c r="E153" t="str">
        <x:v>전망대</x:v>
      </x:c>
      <x:c r="F153" t="str">
        <x:v>N서울타워 전망대 입장권 (소인)</x:v>
      </x:c>
      <x:c r="G153" t="str">
        <x:v>N Seoul Tower Observatory (Child)</x:v>
      </x:c>
      <x:c r="H153" s="55" t="n">
        <x:v>23000</x:v>
      </x:c>
      <x:c r="I153" s="55" t="n">
        <x:v>23000</x:v>
      </x:c>
      <x:c r="J153" t="str">
        <x:v>KRW</x:v>
      </x:c>
      <x:c r="K153" t="str">
        <x:v>아동 1인</x:v>
      </x:c>
      <x:c r="L153" t="str">
        <x:v>고정형</x:v>
      </x:c>
      <x:c r="M153" t="str">
        <x:v>만 3~12세 및 만 65세 이상</x:v>
      </x:c>
      <x:c r="N153" t="str">
        <x:v>A 공식</x:v>
      </x:c>
      <x:c r="O153" t="str">
        <x:v>예</x:v>
      </x:c>
      <x:c r="P153" t="str">
        <x:v>확정 1차</x:v>
      </x:c>
      <x:c r="Q153" s="51" t="n">
        <x:v>46298</x:v>
      </x:c>
      <x:c r="R153" t="str">
        <x:v>2026-10-03 확인</x:v>
      </x:c>
      <x:c r="S153" t="str">
        <x:v>N SEOUL TOWER</x:v>
      </x:c>
      <x:c r="T153" t="str">
        <x:v>https://www.nseoultower.co.kr/eng/visit/use2.asp</x:v>
      </x:c>
      <x:c r="U153" s="23" t="str">
        <x:v>공식 입장안내 어린이·경로 요금 ₩23,000. 기존 ₩16,000 및 안내 URL 불일치 수정</x:v>
      </x:c>
    </x:row>
    <x:row r="154" ht="36" customHeight="1">
      <x:c r="A154" t="str">
        <x:v>SEL-AT-008</x:v>
      </x:c>
      <x:c r="B154" t="str">
        <x:v>한국</x:v>
      </x:c>
      <x:c r="C154" t="str">
        <x:v>서울</x:v>
      </x:c>
      <x:c r="D154" t="str">
        <x:v>관광</x:v>
      </x:c>
      <x:c r="E154" t="str">
        <x:v>테마파크</x:v>
      </x:c>
      <x:c r="F154" t="str">
        <x:v>롯데월드 어드벤처 1일 종합이용권 (어른)</x:v>
      </x:c>
      <x:c r="G154" t="str">
        <x:v>Lotte World 1-Day Ticket (Adult)</x:v>
      </x:c>
      <x:c r="H154" s="55" t="n">
        <x:v>67000</x:v>
      </x:c>
      <x:c r="I154" s="55" t="n">
        <x:v>67000</x:v>
      </x:c>
      <x:c r="J154" t="str">
        <x:v>KRW</x:v>
      </x:c>
      <x:c r="K154" t="str">
        <x:v>성인 1인</x:v>
      </x:c>
      <x:c r="L154" t="str">
        <x:v>고정형</x:v>
      </x:c>
      <x:c r="M154" t="str">
        <x:v>성인</x:v>
      </x:c>
      <x:c r="N154" t="str">
        <x:v>A 공식</x:v>
      </x:c>
      <x:c r="O154" t="str">
        <x:v>예</x:v>
      </x:c>
      <x:c r="P154" t="str">
        <x:v>확정 1차</x:v>
      </x:c>
      <x:c r="Q154" s="51" t="n">
        <x:v>46298</x:v>
      </x:c>
      <x:c r="R154" t="str">
        <x:v>2026년 정상가</x:v>
      </x:c>
      <x:c r="S154" t="str">
        <x:v>롯데월드 어드벤처</x:v>
      </x:c>
      <x:c r="T154" t="str">
        <x:v>https://adventure.lotteworld.com/price/benefit/view?bnftSeq=3721</x:v>
      </x:c>
      <x:c r="U154" s="23" t="str">
        <x:v>2026년 공식 혜택 페이지에 표시된 종합이용권 1DAY 정상가 67,000원. 기존 62,000원 수정</x:v>
      </x:c>
    </x:row>
    <x:row r="155" ht="36" customHeight="1">
      <x:c r="A155" t="str">
        <x:v>SEL-AT-009</x:v>
      </x:c>
      <x:c r="B155" t="str">
        <x:v>한국</x:v>
      </x:c>
      <x:c r="C155" t="str">
        <x:v>서울</x:v>
      </x:c>
      <x:c r="D155" t="str">
        <x:v>관광</x:v>
      </x:c>
      <x:c r="E155" t="str">
        <x:v>테마파크</x:v>
      </x:c>
      <x:c r="F155" t="str">
        <x:v>롯데월드 어드벤처 1일 종합이용권 (어린이)</x:v>
      </x:c>
      <x:c r="G155" t="str">
        <x:v>Lotte World 1-Day Ticket (Child)</x:v>
      </x:c>
      <x:c r="H155" s="55" t="n">
        <x:v>50000</x:v>
      </x:c>
      <x:c r="I155" s="55" t="n">
        <x:v>50000</x:v>
      </x:c>
      <x:c r="J155" t="str">
        <x:v>KRW</x:v>
      </x:c>
      <x:c r="K155" t="str">
        <x:v>아동 1인</x:v>
      </x:c>
      <x:c r="L155" t="str">
        <x:v>고정형</x:v>
      </x:c>
      <x:c r="M155" t="str">
        <x:v>만 36개월 이상~만 12세</x:v>
      </x:c>
      <x:c r="N155" t="str">
        <x:v>A 공식</x:v>
      </x:c>
      <x:c r="O155" t="str">
        <x:v>예</x:v>
      </x:c>
      <x:c r="P155" t="str">
        <x:v>확정 1차</x:v>
      </x:c>
      <x:c r="Q155" s="51" t="n">
        <x:v>46298</x:v>
      </x:c>
      <x:c r="R155" t="str">
        <x:v>2026년 정상가</x:v>
      </x:c>
      <x:c r="S155" t="str">
        <x:v>롯데월드 어드벤처</x:v>
      </x:c>
      <x:c r="T155" t="str">
        <x:v>https://adventure.lotteworld.com/price/benefit/view?bnftSeq=3721</x:v>
      </x:c>
      <x:c r="U155" s="23" t="str">
        <x:v>2026년 공식 혜택 페이지에 표시된 종합이용권 1DAY 정상가 50,000원. 기존 47,000원 수정</x:v>
      </x:c>
    </x:row>
    <x:row r="156" ht="36" customHeight="1">
      <x:c r="A156" t="str">
        <x:v>SEL-AT-001</x:v>
      </x:c>
      <x:c r="B156" t="str">
        <x:v>한국</x:v>
      </x:c>
      <x:c r="C156" t="str">
        <x:v>서울</x:v>
      </x:c>
      <x:c r="D156" t="str">
        <x:v>관광</x:v>
      </x:c>
      <x:c r="E156" t="str">
        <x:v>궁전</x:v>
      </x:c>
      <x:c r="F156" t="str">
        <x:v>경복궁 관람권 (성인)</x:v>
      </x:c>
      <x:c r="G156" t="str">
        <x:v>Gyeongbokgung Palace Admission (Adult)</x:v>
      </x:c>
      <x:c r="H156" s="55" t="n">
        <x:v>3000</x:v>
      </x:c>
      <x:c r="I156" s="55" t="n">
        <x:v>3000</x:v>
      </x:c>
      <x:c r="J156" t="str">
        <x:v>KRW</x:v>
      </x:c>
      <x:c r="K156" t="str">
        <x:v>성인 1인</x:v>
      </x:c>
      <x:c r="L156" t="str">
        <x:v>고정형</x:v>
      </x:c>
      <x:c r="M156" t="str">
        <x:v>외국인 만 19~64세 / 내국인 만 25~64세</x:v>
      </x:c>
      <x:c r="N156" t="str">
        <x:v>A 공식</x:v>
      </x:c>
      <x:c r="O156" t="str">
        <x:v>예</x:v>
      </x:c>
      <x:c r="P156" t="str">
        <x:v>확정 1차</x:v>
      </x:c>
      <x:c r="Q156" s="51" t="n">
        <x:v>46298</x:v>
      </x:c>
      <x:c r="R156" t="str">
        <x:v>현재 공식 요금표</x:v>
      </x:c>
      <x:c r="S156" t="str">
        <x:v>궁능유적본부 관람요금 안내</x:v>
      </x:c>
      <x:c r="T156" t="str">
        <x:v>https://royal.khs.go.kr/ROYAL/contents/R703000000.do</x:v>
      </x:c>
      <x:c r="U156" s="23" t="str">
        <x:v>공식 요금표 개인 대인 3,000원. 기존 링크는 DNS 오류라 현재 통합 공식 안내로 교체</x:v>
      </x:c>
    </x:row>
    <x:row r="157" ht="36" customHeight="1">
      <x:c r="A157" t="str">
        <x:v>SEL-AT-002</x:v>
      </x:c>
      <x:c r="B157" t="str">
        <x:v>한국</x:v>
      </x:c>
      <x:c r="C157" t="str">
        <x:v>서울</x:v>
      </x:c>
      <x:c r="D157" t="str">
        <x:v>관광</x:v>
      </x:c>
      <x:c r="E157" t="str">
        <x:v>궁전</x:v>
      </x:c>
      <x:c r="F157" t="str">
        <x:v>창덕궁 관람권 (성인)</x:v>
      </x:c>
      <x:c r="G157" t="str">
        <x:v>Changdeokgung Palace Admission (Adult)</x:v>
      </x:c>
      <x:c r="H157" s="55" t="n">
        <x:v>3000</x:v>
      </x:c>
      <x:c r="I157" s="55" t="n">
        <x:v>3000</x:v>
      </x:c>
      <x:c r="J157" t="str">
        <x:v>KRW</x:v>
      </x:c>
      <x:c r="K157" t="str">
        <x:v>성인 1인</x:v>
      </x:c>
      <x:c r="L157" t="str">
        <x:v>고정형</x:v>
      </x:c>
      <x:c r="M157" t="str">
        <x:v>외국인 만 19~64세 / 내국인 만 25~64세</x:v>
      </x:c>
      <x:c r="N157" t="str">
        <x:v>A 공식</x:v>
      </x:c>
      <x:c r="O157" t="str">
        <x:v>예</x:v>
      </x:c>
      <x:c r="P157" t="str">
        <x:v>확정 1차</x:v>
      </x:c>
      <x:c r="Q157" s="51" t="n">
        <x:v>46298</x:v>
      </x:c>
      <x:c r="R157" t="str">
        <x:v>현재 공식 요금표</x:v>
      </x:c>
      <x:c r="S157" t="str">
        <x:v>궁능유적본부 관람요금 안내</x:v>
      </x:c>
      <x:c r="T157" t="str">
        <x:v>https://royal.khs.go.kr/ROYAL/contents/R703000000.do</x:v>
      </x:c>
      <x:c r="U157" s="23" t="str">
        <x:v>전각 일반관람 개인 대인 3,000원. 후원 특별관람은 별도. 기존 링크는 DNS 오류라 공식 통합 안내로 교체</x:v>
      </x:c>
    </x:row>
    <x:row r="158" ht="36" customHeight="1">
      <x:c r="A158" t="str">
        <x:v>SEL-AT-003</x:v>
      </x:c>
      <x:c r="B158" t="str">
        <x:v>한국</x:v>
      </x:c>
      <x:c r="C158" t="str">
        <x:v>서울</x:v>
      </x:c>
      <x:c r="D158" t="str">
        <x:v>관광</x:v>
      </x:c>
      <x:c r="E158" t="str">
        <x:v>궁전</x:v>
      </x:c>
      <x:c r="F158" t="str">
        <x:v>덕수궁 관람권 (성인)</x:v>
      </x:c>
      <x:c r="G158" t="str">
        <x:v>Deoksugung Palace Admission (Adult)</x:v>
      </x:c>
      <x:c r="H158" s="55" t="n">
        <x:v>1000</x:v>
      </x:c>
      <x:c r="I158" s="55" t="n">
        <x:v>1000</x:v>
      </x:c>
      <x:c r="J158" t="str">
        <x:v>KRW</x:v>
      </x:c>
      <x:c r="K158" t="str">
        <x:v>성인 1인</x:v>
      </x:c>
      <x:c r="L158" t="str">
        <x:v>고정형</x:v>
      </x:c>
      <x:c r="M158" t="str">
        <x:v>외국인 만 19~64세 / 내국인 만 25~64세</x:v>
      </x:c>
      <x:c r="N158" t="str">
        <x:v>A 공식</x:v>
      </x:c>
      <x:c r="O158" t="str">
        <x:v>예</x:v>
      </x:c>
      <x:c r="P158" t="str">
        <x:v>확정 1차</x:v>
      </x:c>
      <x:c r="Q158" s="51" t="n">
        <x:v>46298</x:v>
      </x:c>
      <x:c r="R158" t="str">
        <x:v>현재 공식 요금표</x:v>
      </x:c>
      <x:c r="S158" t="str">
        <x:v>궁능유적본부 관람요금 안내</x:v>
      </x:c>
      <x:c r="T158" t="str">
        <x:v>https://royal.khs.go.kr/ROYAL/contents/R703000000.do</x:v>
      </x:c>
      <x:c r="U158" s="23" t="str">
        <x:v>공식 요금표 개인 대인 1,000원. 기존 링크는 DNS 오류라 현재 통합 공식 안내로 교체</x:v>
      </x:c>
    </x:row>
    <x:row r="159" ht="36" customHeight="1">
      <x:c r="A159" t="str">
        <x:v>SEL-TR-002</x:v>
      </x:c>
      <x:c r="B159" t="str">
        <x:v>한국</x:v>
      </x:c>
      <x:c r="C159" t="str">
        <x:v>서울</x:v>
      </x:c>
      <x:c r="D159" t="str">
        <x:v>교통</x:v>
      </x:c>
      <x:c r="E159" t="str">
        <x:v>버스 1회권</x:v>
      </x:c>
      <x:c r="F159" t="str">
        <x:v>서울 간선/지선버스 기본요금 (카드)</x:v>
      </x:c>
      <x:c r="G159" t="str">
        <x:v>Seoul Trunk/Feeder Bus Fare (Card)</x:v>
      </x:c>
      <x:c r="H159" s="55" t="n">
        <x:v>1500</x:v>
      </x:c>
      <x:c r="I159" s="55" t="n">
        <x:v>1500</x:v>
      </x:c>
      <x:c r="J159" t="str">
        <x:v>KRW</x:v>
      </x:c>
      <x:c r="K159" t="str">
        <x:v>성인 1인 1회</x:v>
      </x:c>
      <x:c r="L159" t="str">
        <x:v>고정형</x:v>
      </x:c>
      <x:c r="M159" t="str">
        <x:v>일반</x:v>
      </x:c>
      <x:c r="N159" t="str">
        <x:v>A 공식</x:v>
      </x:c>
      <x:c r="O159" t="str">
        <x:v>예</x:v>
      </x:c>
      <x:c r="P159" t="str">
        <x:v>확정 1차</x:v>
      </x:c>
      <x:c r="Q159" s="51" t="n">
        <x:v>46298</x:v>
      </x:c>
      <x:c r="R159" t="str">
        <x:v>현재 공식 요금안내</x:v>
      </x:c>
      <x:c r="S159" t="str">
        <x:v>서울시 교통수단 안내</x:v>
      </x:c>
      <x:c r="T159" t="str">
        <x:v>https://english.seoul.go.kr/policy/transportation/modes-of-transport/</x:v>
      </x:c>
      <x:c r="U159" s="23" t="str">
        <x:v>서울시 공식 안내 성인 간선·지선 교통카드 요금 1,500원. 기존 서울시 링크의 최신 연결을 확인해 공식 영어 안내로 교체</x:v>
      </x:c>
    </x:row>
    <x:row r="160" ht="36" customHeight="1">
      <x:c r="A160" t="str">
        <x:v>SEL-TR-003</x:v>
      </x:c>
      <x:c r="B160" t="str">
        <x:v>한국</x:v>
      </x:c>
      <x:c r="C160" t="str">
        <x:v>서울</x:v>
      </x:c>
      <x:c r="D160" t="str">
        <x:v>교통</x:v>
      </x:c>
      <x:c r="E160" t="str">
        <x:v>버스 1회권</x:v>
      </x:c>
      <x:c r="F160" t="str">
        <x:v>서울 순환/차등버스 기본요금 (카드)</x:v>
      </x:c>
      <x:c r="G160" t="str">
        <x:v>Seoul Circular Bus Fare (Card)</x:v>
      </x:c>
      <x:c r="H160" s="55" t="n">
        <x:v>1400</x:v>
      </x:c>
      <x:c r="I160" s="55" t="n">
        <x:v>1400</x:v>
      </x:c>
      <x:c r="J160" t="str">
        <x:v>KRW</x:v>
      </x:c>
      <x:c r="K160" t="str">
        <x:v>성인 1인 1회</x:v>
      </x:c>
      <x:c r="L160" t="str">
        <x:v>고정형</x:v>
      </x:c>
      <x:c r="M160" t="str">
        <x:v>일반</x:v>
      </x:c>
      <x:c r="N160" t="str">
        <x:v>A 공식</x:v>
      </x:c>
      <x:c r="O160" t="str">
        <x:v>예</x:v>
      </x:c>
      <x:c r="P160" t="str">
        <x:v>확정 1차</x:v>
      </x:c>
      <x:c r="Q160" s="51" t="n">
        <x:v>46298</x:v>
      </x:c>
      <x:c r="R160" t="str">
        <x:v>현재 공식 요금안내</x:v>
      </x:c>
      <x:c r="S160" t="str">
        <x:v>서울시 교통수단 안내</x:v>
      </x:c>
      <x:c r="T160" t="str">
        <x:v>https://english.seoul.go.kr/policy/transportation/modes-of-transport/</x:v>
      </x:c>
      <x:c r="U160" s="23" t="str">
        <x:v>서울시 공식 안내 성인 순환·차등버스 교통카드 요금 1,400원. 원 URL에 직접 접속할 수 없어 같은 서울시 공식 최신 안내로 교체</x:v>
      </x:c>
    </x:row>
    <x:row r="161" ht="36" customHeight="1">
      <x:c r="A161" t="str">
        <x:v>SEL-AP-001</x:v>
      </x:c>
      <x:c r="B161" t="str">
        <x:v>한국</x:v>
      </x:c>
      <x:c r="C161" t="str">
        <x:v>서울</x:v>
      </x:c>
      <x:c r="D161" t="str">
        <x:v>공항이동</x:v>
      </x:c>
      <x:c r="E161" t="str">
        <x:v>공항철도 직통열차</x:v>
      </x:c>
      <x:c r="F161" t="str">
        <x:v>AREX 직통열차 편도 (성인, 제1터미널)</x:v>
      </x:c>
      <x:c r="G161" t="str">
        <x:v>AREX Express Train One-way Adult (Terminal 1)</x:v>
      </x:c>
      <x:c r="H161" s="55" t="n">
        <x:v>18100</x:v>
      </x:c>
      <x:c r="I161" s="55" t="n">
        <x:v>18100</x:v>
      </x:c>
      <x:c r="J161" t="str">
        <x:v>KRW</x:v>
      </x:c>
      <x:c r="K161" t="str">
        <x:v>성인 1인 편도</x:v>
      </x:c>
      <x:c r="L161" t="str">
        <x:v>고정형</x:v>
      </x:c>
      <x:c r="M161" t="str">
        <x:v>성인 만 13~64세</x:v>
      </x:c>
      <x:c r="N161" t="str">
        <x:v>A 공식</x:v>
      </x:c>
      <x:c r="O161" t="str">
        <x:v>예</x:v>
      </x:c>
      <x:c r="P161" t="str">
        <x:v>확정 1차</x:v>
      </x:c>
      <x:c r="Q161" s="51" t="n">
        <x:v>46298</x:v>
      </x:c>
      <x:c r="R161" t="str">
        <x:v>2026-01-05 이후</x:v>
      </x:c>
      <x:c r="S161" t="str">
        <x:v>공항철도 여객운송약관 별표 2</x:v>
      </x:c>
      <x:c r="T161" t="str">
        <x:v>https://www.arex.or.kr/file/%EC%97%AC%EA%B0%9D%EC%9A%B4%EC%86%A1%EC%95%BD%EA%B4%80%282025.12.26.%29.pdf</x:v>
      </x:c>
      <x:c r="U161" s="23" t="str">
        <x:v>2026-01-05 시행 공식 약관: 서울역~인천공항1터미널 성인 18,100원. 기존 11,000원 정정</x:v>
      </x:c>
    </x:row>
    <x:row r="162" ht="36" customHeight="1">
      <x:c r="A162" t="str">
        <x:v>SEL-AP-002</x:v>
      </x:c>
      <x:c r="B162" t="str">
        <x:v>한국</x:v>
      </x:c>
      <x:c r="C162" t="str">
        <x:v>서울</x:v>
      </x:c>
      <x:c r="D162" t="str">
        <x:v>공항이동</x:v>
      </x:c>
      <x:c r="E162" t="str">
        <x:v>공항철도 직통열차</x:v>
      </x:c>
      <x:c r="F162" t="str">
        <x:v>AREX 직통열차 편도 (아동, 제1터미널)</x:v>
      </x:c>
      <x:c r="G162" t="str">
        <x:v>AREX Express Train One-way Child (Terminal 1)</x:v>
      </x:c>
      <x:c r="H162" s="55" t="n">
        <x:v>9500</x:v>
      </x:c>
      <x:c r="I162" s="55" t="n">
        <x:v>9500</x:v>
      </x:c>
      <x:c r="J162" t="str">
        <x:v>KRW</x:v>
      </x:c>
      <x:c r="K162" t="str">
        <x:v>아동 1인 편도</x:v>
      </x:c>
      <x:c r="L162" t="str">
        <x:v>고정형</x:v>
      </x:c>
      <x:c r="M162" t="str">
        <x:v>아동 만 6~12세</x:v>
      </x:c>
      <x:c r="N162" t="str">
        <x:v>A 공식</x:v>
      </x:c>
      <x:c r="O162" t="str">
        <x:v>예</x:v>
      </x:c>
      <x:c r="P162" t="str">
        <x:v>확정 1차</x:v>
      </x:c>
      <x:c r="Q162" s="51" t="n">
        <x:v>46298</x:v>
      </x:c>
      <x:c r="R162" t="str">
        <x:v>2026-01-05 이후</x:v>
      </x:c>
      <x:c r="S162" t="str">
        <x:v>공항철도 여객운송약관 별표 2</x:v>
      </x:c>
      <x:c r="T162" t="str">
        <x:v>https://www.arex.or.kr/file/%EC%97%AC%EA%B0%9D%EC%9A%B4%EC%86%A1%EC%95%BD%EA%B4%80%282025.12.26.%29.pdf</x:v>
      </x:c>
      <x:c r="U162" s="23" t="str">
        <x:v>2026-01-05 시행 공식 약관: 서울역~인천공항1터미널 어린이 9,500원. 기존 8,800원 정정</x:v>
      </x:c>
    </x:row>
    <x:row r="163" ht="36" customHeight="1">
      <x:c r="A163" t="str">
        <x:v>SEL-AP-003</x:v>
      </x:c>
      <x:c r="B163" t="str">
        <x:v>한국</x:v>
      </x:c>
      <x:c r="C163" t="str">
        <x:v>서울</x:v>
      </x:c>
      <x:c r="D163" t="str">
        <x:v>공항이동</x:v>
      </x:c>
      <x:c r="E163" t="str">
        <x:v>공항버스</x:v>
      </x:c>
      <x:c r="F163" t="str">
        <x:v>공항리무진 성인 편도 (도심↔인천공항)</x:v>
      </x:c>
      <x:c r="G163" t="str">
        <x:v>Airport Limousine Bus One-way Adult (Downtown–ICN)</x:v>
      </x:c>
      <x:c r="H163" s="55" t="n">
        <x:v>17000</x:v>
      </x:c>
      <x:c r="I163" s="55" t="n">
        <x:v>17000</x:v>
      </x:c>
      <x:c r="J163" t="str">
        <x:v>KRW</x:v>
      </x:c>
      <x:c r="K163" t="str">
        <x:v>성인 1인 편도</x:v>
      </x:c>
      <x:c r="L163" t="str">
        <x:v>고정형</x:v>
      </x:c>
      <x:c r="M163" t="str">
        <x:v>일반</x:v>
      </x:c>
      <x:c r="N163" t="str">
        <x:v>A 공식</x:v>
      </x:c>
      <x:c r="O163" t="str">
        <x:v>예</x:v>
      </x:c>
      <x:c r="P163" t="str">
        <x:v>확정 1차</x:v>
      </x:c>
      <x:c r="Q163" s="51" t="n">
        <x:v>46298</x:v>
      </x:c>
      <x:c r="R163" t="str">
        <x:v>현재 공식 일반 운임</x:v>
      </x:c>
      <x:c r="S163" t="str">
        <x:v>공항리무진 공식 운임안내</x:v>
      </x:c>
      <x:c r="T163" t="str">
        <x:v>https://airportlimousine.co.kr/sub/sub02_01.php</x:v>
      </x:c>
      <x:c r="U163" s="23" t="str">
        <x:v>서울시내~인천공항 직통 고급형 리무진 성인 17,000원. 기존 CSV 링크 404를 현재 공식 운임표로 교체</x:v>
      </x:c>
    </x:row>
    <x:row r="164" ht="36" customHeight="1">
      <x:c r="A164" t="str">
        <x:v>SEL-AP-004</x:v>
      </x:c>
      <x:c r="B164" t="str">
        <x:v>한국</x:v>
      </x:c>
      <x:c r="C164" t="str">
        <x:v>서울</x:v>
      </x:c>
      <x:c r="D164" t="str">
        <x:v>공항이동</x:v>
      </x:c>
      <x:c r="E164" t="str">
        <x:v>공항철도 직통열차</x:v>
      </x:c>
      <x:c r="F164" t="str">
        <x:v>AREX 직통열차 편도 (성인, 제2터미널)</x:v>
      </x:c>
      <x:c r="G164" t="str">
        <x:v>AREX Express Train One-way Adult (Terminal 2)</x:v>
      </x:c>
      <x:c r="H164" s="55" t="n">
        <x:v>18700</x:v>
      </x:c>
      <x:c r="I164" s="55" t="n">
        <x:v>18700</x:v>
      </x:c>
      <x:c r="J164" t="str">
        <x:v>KRW</x:v>
      </x:c>
      <x:c r="K164" t="str">
        <x:v>성인 1인 편도</x:v>
      </x:c>
      <x:c r="L164" t="str">
        <x:v>고정형</x:v>
      </x:c>
      <x:c r="M164" t="str">
        <x:v>성인 만 13~64세</x:v>
      </x:c>
      <x:c r="N164" t="str">
        <x:v>A 공식</x:v>
      </x:c>
      <x:c r="O164" t="str">
        <x:v>예</x:v>
      </x:c>
      <x:c r="P164" t="str">
        <x:v>확정 1차</x:v>
      </x:c>
      <x:c r="Q164" s="51" t="n">
        <x:v>46298</x:v>
      </x:c>
      <x:c r="R164" t="str">
        <x:v>2026-01-05 이후</x:v>
      </x:c>
      <x:c r="S164" t="str">
        <x:v>공항철도 여객운송약관 별표 2</x:v>
      </x:c>
      <x:c r="T164" t="str">
        <x:v>https://www.arex.or.kr/file/%EC%97%AC%EA%B0%9D%EC%9A%B4%EC%86%A1%EC%95%BD%EA%B4%80%282025.12.26.%29.pdf</x:v>
      </x:c>
      <x:c r="U164" s="23" t="str">
        <x:v>제2터미널 성인 요금은 제1터미널과 달라 별도 관측치로 추가: 공식 요금 18,700원</x:v>
      </x:c>
    </x:row>
    <x:row r="165" ht="36" customHeight="1">
      <x:c r="A165" t="str">
        <x:v>SEL-AP-005</x:v>
      </x:c>
      <x:c r="B165" t="str">
        <x:v>한국</x:v>
      </x:c>
      <x:c r="C165" t="str">
        <x:v>서울</x:v>
      </x:c>
      <x:c r="D165" t="str">
        <x:v>공항이동</x:v>
      </x:c>
      <x:c r="E165" t="str">
        <x:v>공항철도 직통열차</x:v>
      </x:c>
      <x:c r="F165" t="str">
        <x:v>AREX 직통열차 편도 (아동, 제2터미널)</x:v>
      </x:c>
      <x:c r="G165" t="str">
        <x:v>AREX Express Train One-way Child (Terminal 2)</x:v>
      </x:c>
      <x:c r="H165" s="55" t="n">
        <x:v>9500</x:v>
      </x:c>
      <x:c r="I165" s="55" t="n">
        <x:v>9500</x:v>
      </x:c>
      <x:c r="J165" t="str">
        <x:v>KRW</x:v>
      </x:c>
      <x:c r="K165" t="str">
        <x:v>아동 1인 편도</x:v>
      </x:c>
      <x:c r="L165" t="str">
        <x:v>고정형</x:v>
      </x:c>
      <x:c r="M165" t="str">
        <x:v>아동 만 6~12세</x:v>
      </x:c>
      <x:c r="N165" t="str">
        <x:v>A 공식</x:v>
      </x:c>
      <x:c r="O165" t="str">
        <x:v>예</x:v>
      </x:c>
      <x:c r="P165" t="str">
        <x:v>확정 1차</x:v>
      </x:c>
      <x:c r="Q165" s="51" t="n">
        <x:v>46298</x:v>
      </x:c>
      <x:c r="R165" t="str">
        <x:v>2026-01-05 이후</x:v>
      </x:c>
      <x:c r="S165" t="str">
        <x:v>공항철도 여객운송약관 별표 2</x:v>
      </x:c>
      <x:c r="T165" t="str">
        <x:v>https://www.arex.or.kr/file/%EC%97%AC%EA%B0%9D%EC%9A%B4%EC%86%A1%EC%95%BD%EA%B4%80%282025.12.26.%29.pdf</x:v>
      </x:c>
      <x:c r="U165" s="23" t="str">
        <x:v>제2터미널 어린이 공식 요금 9,500원. 제1터미널 성인·아동과 분리해 기록</x:v>
      </x:c>
    </x:row>
    <x:row r="166" ht="36" customHeight="1">
      <x:c r="A166" t="str">
        <x:v>SEL-AT-006</x:v>
      </x:c>
      <x:c r="B166" t="str">
        <x:v>한국</x:v>
      </x:c>
      <x:c r="C166" t="str">
        <x:v>서울</x:v>
      </x:c>
      <x:c r="D166" t="str">
        <x:v>관광</x:v>
      </x:c>
      <x:c r="E166" t="str">
        <x:v>전망대</x:v>
      </x:c>
      <x:c r="F166" t="str">
        <x:v>서울스카이 일반티켓 (어른)</x:v>
      </x:c>
      <x:c r="G166" t="str">
        <x:v>Seoul Sky Admission Ticket (Adult)</x:v>
      </x:c>
      <x:c r="H166" s="55" t="n">
        <x:v>31000</x:v>
      </x:c>
      <x:c r="I166" s="55" t="n">
        <x:v>31000</x:v>
      </x:c>
      <x:c r="J166" t="str">
        <x:v>KRW</x:v>
      </x:c>
      <x:c r="K166" t="str">
        <x:v>성인 1인</x:v>
      </x:c>
      <x:c r="L166" t="str">
        <x:v>고정형</x:v>
      </x:c>
      <x:c r="M166" t="str">
        <x:v>일반 만 13세 이상</x:v>
      </x:c>
      <x:c r="N166" t="str">
        <x:v>A 공식</x:v>
      </x:c>
      <x:c r="O166" t="str">
        <x:v>예</x:v>
      </x:c>
      <x:c r="P166" t="str">
        <x:v>확정 1차</x:v>
      </x:c>
      <x:c r="Q166" s="51" t="n">
        <x:v>46298</x:v>
      </x:c>
      <x:c r="R166" t="str">
        <x:v>2026-01-01~2026-12-31</x:v>
      </x:c>
      <x:c r="S166" t="str">
        <x:v>SEOUL SKY 일반 혜택 안내</x:v>
      </x:c>
      <x:c r="T166" t="str">
        <x:v>https://seoulsky.lotteworld.com/price/benefit/view?activeTab=0&amp;bnftSeq=2159</x:v>
      </x:c>
      <x:c r="U166" s="23" t="str">
        <x:v>2026년 공식 정상가 성인 31,000원 확인. 원 CSV 출처는 현재 404라 가격을 표시하는 공식 안내로 교체</x:v>
      </x:c>
    </x:row>
    <x:row r="167" ht="36" customHeight="1">
      <x:c r="A167" t="str">
        <x:v>SEL-AT-007</x:v>
      </x:c>
      <x:c r="B167" t="str">
        <x:v>한국</x:v>
      </x:c>
      <x:c r="C167" t="str">
        <x:v>서울</x:v>
      </x:c>
      <x:c r="D167" t="str">
        <x:v>관광</x:v>
      </x:c>
      <x:c r="E167" t="str">
        <x:v>전망대</x:v>
      </x:c>
      <x:c r="F167" t="str">
        <x:v>서울스카이 일반티켓 (어린이)</x:v>
      </x:c>
      <x:c r="G167" t="str">
        <x:v>Seoul Sky Admission Ticket (Child)</x:v>
      </x:c>
      <x:c r="H167" s="55" t="n">
        <x:v>27000</x:v>
      </x:c>
      <x:c r="I167" s="55" t="n">
        <x:v>27000</x:v>
      </x:c>
      <x:c r="J167" t="str">
        <x:v>KRW</x:v>
      </x:c>
      <x:c r="K167" t="str">
        <x:v>아동 1인</x:v>
      </x:c>
      <x:c r="L167" t="str">
        <x:v>고정형</x:v>
      </x:c>
      <x:c r="M167" t="str">
        <x:v>아동 만 3~12세</x:v>
      </x:c>
      <x:c r="N167" t="str">
        <x:v>A 공식</x:v>
      </x:c>
      <x:c r="O167" t="str">
        <x:v>예</x:v>
      </x:c>
      <x:c r="P167" t="str">
        <x:v>확정 1차</x:v>
      </x:c>
      <x:c r="Q167" s="51" t="n">
        <x:v>46298</x:v>
      </x:c>
      <x:c r="R167" t="str">
        <x:v>2026-01-01~2026-12-31</x:v>
      </x:c>
      <x:c r="S167" t="str">
        <x:v>SEOUL SKY 일반 혜택 안내</x:v>
      </x:c>
      <x:c r="T167" t="str">
        <x:v>https://seoulsky.lotteworld.com/price/benefit/view?activeTab=0&amp;bnftSeq=2159</x:v>
      </x:c>
      <x:c r="U167" s="23" t="str">
        <x:v>2026년 공식 정상가 소인 27,000원 확인. 원 CSV 출처는 현재 404라 가격을 표시하는 공식 안내로 교체</x:v>
      </x:c>
    </x:row>
    <x:row r="168" ht="36" customHeight="1">
      <x:c r="A168" t="str">
        <x:v>SEL-AT-010</x:v>
      </x:c>
      <x:c r="B168" t="str">
        <x:v>한국</x:v>
      </x:c>
      <x:c r="C168" t="str">
        <x:v>서울</x:v>
      </x:c>
      <x:c r="D168" t="str">
        <x:v>관광</x:v>
      </x:c>
      <x:c r="E168" t="str">
        <x:v>박물관</x:v>
      </x:c>
      <x:c r="F168" t="str">
        <x:v>국립중앙박물관 상설전시</x:v>
      </x:c>
      <x:c r="G168" t="str">
        <x:v>National Museum of Korea Permanent Exhibition</x:v>
      </x:c>
      <x:c r="H168" s="55" t="n">
        <x:v>0</x:v>
      </x:c>
      <x:c r="I168" s="55" t="n">
        <x:v>0</x:v>
      </x:c>
      <x:c r="J168" t="str">
        <x:v>KRW</x:v>
      </x:c>
      <x:c r="K168" t="str">
        <x:v>1인</x:v>
      </x:c>
      <x:c r="L168" t="str">
        <x:v>고정형</x:v>
      </x:c>
      <x:c r="M168" t="str">
        <x:v>일반</x:v>
      </x:c>
      <x:c r="N168" t="str">
        <x:v>A 공식</x:v>
      </x:c>
      <x:c r="O168" t="str">
        <x:v>예</x:v>
      </x:c>
      <x:c r="P168" t="str">
        <x:v>확정 1차</x:v>
      </x:c>
      <x:c r="Q168" s="51" t="n">
        <x:v>46298</x:v>
      </x:c>
      <x:c r="R168" t="str">
        <x:v>현재 공식 안내</x:v>
      </x:c>
      <x:c r="S168" t="str">
        <x:v>국립중앙박물관 전시안내</x:v>
      </x:c>
      <x:c r="T168" t="str">
        <x:v>https://vcm.museum.go.kr/MUSEUM/contents/M0201010000.do</x:v>
      </x:c>
      <x:c r="U168" s="23" t="str">
        <x:v>상설전시 무료 확인. 기획전시는 별도 요금 가능. 원 CSV URL은 리다이렉트 오류라 현재 박물관 공식 안내로 교체</x:v>
      </x:c>
    </x:row>
    <x:row r="169" ht="36" customHeight="1">
      <x:c r="A169" t="str">
        <x:v>SEL-FD-001</x:v>
      </x:c>
      <x:c r="B169" t="str">
        <x:v>한국</x:v>
      </x:c>
      <x:c r="C169" t="str">
        <x:v>서울</x:v>
      </x:c>
      <x:c r="D169" t="str">
        <x:v>외식</x:v>
      </x:c>
      <x:c r="E169" t="str">
        <x:v>저가 한끼</x:v>
      </x:c>
      <x:c r="F169" t="str">
        <x:v>이삭토스트 햄치즈 토스트</x:v>
      </x:c>
      <x:c r="G169" t="str">
        <x:v>Isaac Toast Ham &amp; Cheese Toast</x:v>
      </x:c>
      <x:c r="H169" s="55"/>
      <x:c r="I169" s="55"/>
      <x:c r="J169" t="str">
        <x:v>KRW</x:v>
      </x:c>
      <x:c r="K169" t="str">
        <x:v>1개</x:v>
      </x:c>
      <x:c r="L169" t="str">
        <x:v>고정형</x:v>
      </x:c>
      <x:c r="M169" t="str">
        <x:v>일반</x:v>
      </x:c>
      <x:c r="N169" t="str">
        <x:v>D 보류</x:v>
      </x:c>
      <x:c r="O169" t="str">
        <x:v>아니오</x:v>
      </x:c>
      <x:c r="P169" t="str">
        <x:v>보류</x:v>
      </x:c>
      <x:c r="Q169" s="51" t="n">
        <x:v>46298</x:v>
      </x:c>
      <x:c r="R169" t="str">
        <x:v>2026</x:v>
      </x:c>
      <x:c r="S169" t="str">
        <x:v>이삭토스트 공식 메뉴</x:v>
      </x:c>
      <x:c r="T169" t="str">
        <x:v>https://isaac-toast.co.kr/menu/menu.php?ptype=list&amp;catcode=10101000</x:v>
      </x:c>
      <x:c r="U169" s="23" t="str">
        <x:v>공식 메뉴 목록에서 햄치즈 토스트의 원가격을 확인할 수 없음. 기존 가격 3,300원과 이전 URL(404)은 사용 보류</x:v>
      </x:c>
    </x:row>
    <x:row r="170" ht="36" customHeight="1">
      <x:c r="A170" t="str">
        <x:v>SEL-FD-002</x:v>
      </x:c>
      <x:c r="B170" t="str">
        <x:v>한국</x:v>
      </x:c>
      <x:c r="C170" t="str">
        <x:v>서울</x:v>
      </x:c>
      <x:c r="D170" t="str">
        <x:v>외식</x:v>
      </x:c>
      <x:c r="E170" t="str">
        <x:v>저가 한끼</x:v>
      </x:c>
      <x:c r="F170" t="str">
        <x:v>바르다김선생 바른 김밥</x:v>
      </x:c>
      <x:c r="G170" t="str">
        <x:v>Teacher Kim Barun Gimbap</x:v>
      </x:c>
      <x:c r="H170" s="55"/>
      <x:c r="I170" s="55"/>
      <x:c r="J170" t="str">
        <x:v>KRW</x:v>
      </x:c>
      <x:c r="K170" t="str">
        <x:v>1줄</x:v>
      </x:c>
      <x:c r="L170" t="str">
        <x:v>고정형</x:v>
      </x:c>
      <x:c r="M170" t="str">
        <x:v>일반</x:v>
      </x:c>
      <x:c r="N170" t="str">
        <x:v>D 보류</x:v>
      </x:c>
      <x:c r="O170" t="str">
        <x:v>아니오</x:v>
      </x:c>
      <x:c r="P170" t="str">
        <x:v>보류</x:v>
      </x:c>
      <x:c r="Q170" s="51" t="n">
        <x:v>46298</x:v>
      </x:c>
      <x:c r="R170" t="str">
        <x:v>2026</x:v>
      </x:c>
      <x:c r="S170" t="str">
        <x:v>바르다김선생 공식 메뉴</x:v>
      </x:c>
      <x:c r="T170" t="str">
        <x:v>https://teacherkim.co.kr/menu/list.html?bs=004001</x:v>
      </x:c>
      <x:c r="U170" s="23" t="str">
        <x:v>공식 메뉴 목록에서 바른 김밥 가격을 확인할 수 없음. 기존 가격 4,500원과 이전 URL(404)은 사용 보류</x:v>
      </x:c>
    </x:row>
    <x:row r="171" ht="36" customHeight="1">
      <x:c r="A171" t="str">
        <x:v>SEL-FD-003</x:v>
      </x:c>
      <x:c r="B171" t="str">
        <x:v>한국</x:v>
      </x:c>
      <x:c r="C171" t="str">
        <x:v>서울</x:v>
      </x:c>
      <x:c r="D171" t="str">
        <x:v>외식</x:v>
      </x:c>
      <x:c r="E171" t="str">
        <x:v>중가 한끼</x:v>
      </x:c>
      <x:c r="F171" t="str">
        <x:v>놀부부대찌개 (1인분)</x:v>
      </x:c>
      <x:c r="G171" t="str">
        <x:v>Nolboo Budae Jjigae (1 Person)</x:v>
      </x:c>
      <x:c r="H171" s="55"/>
      <x:c r="I171" s="55"/>
      <x:c r="J171" t="str">
        <x:v>KRW</x:v>
      </x:c>
      <x:c r="K171" t="str">
        <x:v>1인분</x:v>
      </x:c>
      <x:c r="L171" t="str">
        <x:v>고정형</x:v>
      </x:c>
      <x:c r="M171" t="str">
        <x:v>일반</x:v>
      </x:c>
      <x:c r="N171" t="str">
        <x:v>D 보류</x:v>
      </x:c>
      <x:c r="O171" t="str">
        <x:v>아니오</x:v>
      </x:c>
      <x:c r="P171" t="str">
        <x:v>보류</x:v>
      </x:c>
      <x:c r="Q171" s="51" t="n">
        <x:v>46298</x:v>
      </x:c>
      <x:c r="R171" t="str">
        <x:v>2026</x:v>
      </x:c>
      <x:c r="S171" t="str">
        <x:v>놀부부대찌개 공식홈페이지</x:v>
      </x:c>
      <x:c r="T171" t="str">
        <x:v>https://www.nolboo.co.kr/brand/menu.asp?b_code=BUDAE</x:v>
      </x:c>
      <x:c r="U171" s="23" t="str">
        <x:v>공식 URL 직접 접속이 시간 초과되어 메뉴 원가격을 확인하지 못함. 기존 가격 10,500원은 사용 보류</x:v>
      </x:c>
    </x:row>
    <x:row r="172" ht="36" customHeight="1">
      <x:c r="A172" t="str">
        <x:v>SEL-FD-004</x:v>
      </x:c>
      <x:c r="B172" t="str">
        <x:v>한국</x:v>
      </x:c>
      <x:c r="C172" t="str">
        <x:v>서울</x:v>
      </x:c>
      <x:c r="D172" t="str">
        <x:v>외식</x:v>
      </x:c>
      <x:c r="E172" t="str">
        <x:v>중가 한끼</x:v>
      </x:c>
      <x:c r="F172" t="str">
        <x:v>백암순대국밥</x:v>
      </x:c>
      <x:c r="G172" t="str">
        <x:v>Baegam Sundae Gukbap</x:v>
      </x:c>
      <x:c r="H172" s="55"/>
      <x:c r="I172" s="55"/>
      <x:c r="J172" t="str">
        <x:v>KRW</x:v>
      </x:c>
      <x:c r="K172" t="str">
        <x:v>1그릇</x:v>
      </x:c>
      <x:c r="L172" t="str">
        <x:v>고정형</x:v>
      </x:c>
      <x:c r="M172" t="str">
        <x:v>일반</x:v>
      </x:c>
      <x:c r="N172" t="str">
        <x:v>D 보류</x:v>
      </x:c>
      <x:c r="O172" t="str">
        <x:v>아니오</x:v>
      </x:c>
      <x:c r="P172" t="str">
        <x:v>보류</x:v>
      </x:c>
      <x:c r="Q172" s="51" t="n">
        <x:v>46298</x:v>
      </x:c>
      <x:c r="R172" t="str">
        <x:v>2026</x:v>
      </x:c>
      <x:c r="S172" t="str">
        <x:v>조암골백암순대 공식홈페이지</x:v>
      </x:c>
      <x:c r="T172" t="str">
        <x:v>http://www.baegam.co.kr/sub/sub02_01.php</x:v>
      </x:c>
      <x:c r="U172" s="23" t="str">
        <x:v>공식 URL 직접 접속이 DNS 오류로 실패해 가격을 확인하지 못함. 기존 가격 10,000원은 사용 보류</x:v>
      </x:c>
    </x:row>
    <x:row r="173" ht="36" customHeight="1">
      <x:c r="A173" t="str">
        <x:v>SEL-FD-005</x:v>
      </x:c>
      <x:c r="B173" t="str">
        <x:v>한국</x:v>
      </x:c>
      <x:c r="C173" t="str">
        <x:v>서울</x:v>
      </x:c>
      <x:c r="D173" t="str">
        <x:v>외식</x:v>
      </x:c>
      <x:c r="E173" t="str">
        <x:v>중가 한끼</x:v>
      </x:c>
      <x:c r="F173" t="str">
        <x:v>원할머니보쌈 1인 보쌈세트</x:v>
      </x:c>
      <x:c r="G173" t="str">
        <x:v>Won Grandma 1-Person Bossam Set</x:v>
      </x:c>
      <x:c r="H173" s="55"/>
      <x:c r="I173" s="55"/>
      <x:c r="J173" t="str">
        <x:v>KRW</x:v>
      </x:c>
      <x:c r="K173" t="str">
        <x:v>1인분</x:v>
      </x:c>
      <x:c r="L173" t="str">
        <x:v>고정형</x:v>
      </x:c>
      <x:c r="M173" t="str">
        <x:v>일반</x:v>
      </x:c>
      <x:c r="N173" t="str">
        <x:v>D 보류</x:v>
      </x:c>
      <x:c r="O173" t="str">
        <x:v>아니오</x:v>
      </x:c>
      <x:c r="P173" t="str">
        <x:v>보류</x:v>
      </x:c>
      <x:c r="Q173" s="51" t="n">
        <x:v>46298</x:v>
      </x:c>
      <x:c r="R173" t="str">
        <x:v>2026</x:v>
      </x:c>
      <x:c r="S173" t="str">
        <x:v>원할머니보쌈족발 공식 메뉴</x:v>
      </x:c>
      <x:c r="T173" t="str">
        <x:v>https://wonandone.co.kr/bossam/menu.asp?KeyCtgM=14</x:v>
      </x:c>
      <x:c r="U173" s="23" t="str">
        <x:v>현재 공식 메뉴에 1인보쌈 상품은 있으나 가격이 표시되지 않음. 기존 가격 12,000원은 사용 보류</x:v>
      </x:c>
    </x:row>
    <x:row r="174" ht="36" customHeight="1">
      <x:c r="A174" t="str">
        <x:v>SEL-FD-006</x:v>
      </x:c>
      <x:c r="B174" t="str">
        <x:v>한국</x:v>
      </x:c>
      <x:c r="C174" t="str">
        <x:v>서울</x:v>
      </x:c>
      <x:c r="D174" t="str">
        <x:v>외식</x:v>
      </x:c>
      <x:c r="E174" t="str">
        <x:v>음료</x:v>
      </x:c>
      <x:c r="F174" t="str">
        <x:v>이디야커피 아메리카노 (라지)</x:v>
      </x:c>
      <x:c r="G174" t="str">
        <x:v>Ediya Coffee Caffe Americano (L)</x:v>
      </x:c>
      <x:c r="H174" s="55"/>
      <x:c r="I174" s="55"/>
      <x:c r="J174" t="str">
        <x:v>KRW</x:v>
      </x:c>
      <x:c r="K174" t="str">
        <x:v>1잔 18oz</x:v>
      </x:c>
      <x:c r="L174" t="str">
        <x:v>고정형</x:v>
      </x:c>
      <x:c r="M174" t="str">
        <x:v>일반</x:v>
      </x:c>
      <x:c r="N174" t="str">
        <x:v>D 보류</x:v>
      </x:c>
      <x:c r="O174" t="str">
        <x:v>아니오</x:v>
      </x:c>
      <x:c r="P174" t="str">
        <x:v>보류</x:v>
      </x:c>
      <x:c r="Q174" s="51" t="n">
        <x:v>46298</x:v>
      </x:c>
      <x:c r="R174" t="str">
        <x:v>2026</x:v>
      </x:c>
      <x:c r="S174" t="str">
        <x:v>이디야커피 공식 메뉴</x:v>
      </x:c>
      <x:c r="T174" t="str">
        <x:v>https://www.ediya.com/contents/drink.html</x:v>
      </x:c>
      <x:c r="U174" s="23" t="str">
        <x:v>공식 메뉴에서 아메리카노 L의 원가격을 직접 확인할 수 없음. 기존 가격 3,200원은 사용 보류</x:v>
      </x:c>
    </x:row>
    <x:row r="175" ht="36" customHeight="1">
      <x:c r="A175" t="str">
        <x:v>SEL-FD-007</x:v>
      </x:c>
      <x:c r="B175" t="str">
        <x:v>한국</x:v>
      </x:c>
      <x:c r="C175" t="str">
        <x:v>서울</x:v>
      </x:c>
      <x:c r="D175" t="str">
        <x:v>외식</x:v>
      </x:c>
      <x:c r="E175" t="str">
        <x:v>음료</x:v>
      </x:c>
      <x:c r="F175" t="str">
        <x:v>메가MGC커피 아메리카노 (HOT)</x:v>
      </x:c>
      <x:c r="G175" t="str">
        <x:v>Mega MGC Coffee Americano (HOT)</x:v>
      </x:c>
      <x:c r="H175" s="55"/>
      <x:c r="I175" s="55"/>
      <x:c r="J175" t="str">
        <x:v>KRW</x:v>
      </x:c>
      <x:c r="K175" t="str">
        <x:v>1잔 20oz</x:v>
      </x:c>
      <x:c r="L175" t="str">
        <x:v>고정형</x:v>
      </x:c>
      <x:c r="M175" t="str">
        <x:v>일반</x:v>
      </x:c>
      <x:c r="N175" t="str">
        <x:v>D 보류</x:v>
      </x:c>
      <x:c r="O175" t="str">
        <x:v>아니오</x:v>
      </x:c>
      <x:c r="P175" t="str">
        <x:v>보류</x:v>
      </x:c>
      <x:c r="Q175" s="51" t="n">
        <x:v>46298</x:v>
      </x:c>
      <x:c r="R175" t="str">
        <x:v>2026</x:v>
      </x:c>
      <x:c r="S175" t="str">
        <x:v>메가MGC커피 공식 메뉴</x:v>
      </x:c>
      <x:c r="T175" t="str">
        <x:v>https://www.mega-mgccoffee.com/menu/?menu_category1=1</x:v>
      </x:c>
      <x:c r="U175" s="23" t="str">
        <x:v>공식 메뉴 페이지에서 아메리카노 가격을 직접 확인할 수 없음. 기존 가격 1,500원은 사용 보류</x:v>
      </x:c>
    </x:row>
    <x:row r="176" ht="36" customHeight="1">
      <x:c r="A176" t="str">
        <x:v>SEL-FD-008</x:v>
      </x:c>
      <x:c r="B176" t="str">
        <x:v>한국</x:v>
      </x:c>
      <x:c r="C176" t="str">
        <x:v>서울</x:v>
      </x:c>
      <x:c r="D176" t="str">
        <x:v>외식</x:v>
      </x:c>
      <x:c r="E176" t="str">
        <x:v>간식</x:v>
      </x:c>
      <x:c r="F176" t="str">
        <x:v>설빙 인절미설빙</x:v>
      </x:c>
      <x:c r="G176" t="str">
        <x:v>Sulbing Injeolmi Bingsu</x:v>
      </x:c>
      <x:c r="H176" s="55"/>
      <x:c r="I176" s="55"/>
      <x:c r="J176" t="str">
        <x:v>KRW</x:v>
      </x:c>
      <x:c r="K176" t="str">
        <x:v>1그릇</x:v>
      </x:c>
      <x:c r="L176" t="str">
        <x:v>고정형</x:v>
      </x:c>
      <x:c r="M176" t="str">
        <x:v>일반</x:v>
      </x:c>
      <x:c r="N176" t="str">
        <x:v>D 보류</x:v>
      </x:c>
      <x:c r="O176" t="str">
        <x:v>아니오</x:v>
      </x:c>
      <x:c r="P176" t="str">
        <x:v>보류</x:v>
      </x:c>
      <x:c r="Q176" s="51" t="n">
        <x:v>46298</x:v>
      </x:c>
      <x:c r="R176" t="str">
        <x:v>2026</x:v>
      </x:c>
      <x:c r="S176" t="str">
        <x:v>설빙 공식 메뉴</x:v>
      </x:c>
      <x:c r="T176" t="str">
        <x:v>https://sulbing.com/menu/</x:v>
      </x:c>
      <x:c r="U176" s="23" t="str">
        <x:v>현재 공식 메뉴에는 상품명이 있으나 가격은 표시되지 않음. 기존 가격 9,500원은 사용 보류</x:v>
      </x:c>
    </x:row>
    <x:row r="177" ht="36" customHeight="1">
      <x:c r="A177" t="str">
        <x:v>SEL-FD-009</x:v>
      </x:c>
      <x:c r="B177" t="str">
        <x:v>한국</x:v>
      </x:c>
      <x:c r="C177" t="str">
        <x:v>서울</x:v>
      </x:c>
      <x:c r="D177" t="str">
        <x:v>외식</x:v>
      </x:c>
      <x:c r="E177" t="str">
        <x:v>주류</x:v>
      </x:c>
      <x:c r="F177" t="str">
        <x:v>CU 편의점 카스 후레쉬 캔</x:v>
      </x:c>
      <x:c r="G177" t="str">
        <x:v>CU Cass Fresh Can (500ml)</x:v>
      </x:c>
      <x:c r="H177" s="55"/>
      <x:c r="I177" s="55"/>
      <x:c r="J177" t="str">
        <x:v>KRW</x:v>
      </x:c>
      <x:c r="K177" t="str">
        <x:v>1캔 500ml</x:v>
      </x:c>
      <x:c r="L177" t="str">
        <x:v>고정형</x:v>
      </x:c>
      <x:c r="M177" t="str">
        <x:v>일반</x:v>
      </x:c>
      <x:c r="N177" t="str">
        <x:v>D 보류</x:v>
      </x:c>
      <x:c r="O177" t="str">
        <x:v>아니오</x:v>
      </x:c>
      <x:c r="P177" t="str">
        <x:v>보류</x:v>
      </x:c>
      <x:c r="Q177" s="51" t="n">
        <x:v>46298</x:v>
      </x:c>
      <x:c r="R177" t="str">
        <x:v>2026</x:v>
      </x:c>
      <x:c r="S177" t="str">
        <x:v>CU 공식홈페이지(포켓CU)</x:v>
      </x:c>
      <x:c r="T177" t="str">
        <x:v>https://cu.bgfretail.com/product/product.do?category=04</x:v>
      </x:c>
      <x:c r="U177" s="23" t="str">
        <x:v>공식 상품목록에서 카스 후레쉬 500ml의 개별 상품·가격을 확인할 수 없음. 기존 가격 2,800원은 사용 보류</x:v>
      </x:c>
    </x:row>
    <x:row r="178" ht="36" customHeight="1">
      <x:c r="A178" t="str">
        <x:v>SEL-FD-010</x:v>
      </x:c>
      <x:c r="B178" t="str">
        <x:v>한국</x:v>
      </x:c>
      <x:c r="C178" t="str">
        <x:v>서울</x:v>
      </x:c>
      <x:c r="D178" t="str">
        <x:v>외식</x:v>
      </x:c>
      <x:c r="E178" t="str">
        <x:v>주류</x:v>
      </x:c>
      <x:c r="F178" t="str">
        <x:v>CU 편의점 참이슬 후레쉬</x:v>
      </x:c>
      <x:c r="G178" t="str">
        <x:v>CU Chamisul Fresh (360ml)</x:v>
      </x:c>
      <x:c r="H178" s="55"/>
      <x:c r="I178" s="55"/>
      <x:c r="J178" t="str">
        <x:v>KRW</x:v>
      </x:c>
      <x:c r="K178" t="str">
        <x:v>1병 360ml</x:v>
      </x:c>
      <x:c r="L178" t="str">
        <x:v>고정형</x:v>
      </x:c>
      <x:c r="M178" t="str">
        <x:v>일반</x:v>
      </x:c>
      <x:c r="N178" t="str">
        <x:v>D 보류</x:v>
      </x:c>
      <x:c r="O178" t="str">
        <x:v>아니오</x:v>
      </x:c>
      <x:c r="P178" t="str">
        <x:v>보류</x:v>
      </x:c>
      <x:c r="Q178" s="51" t="n">
        <x:v>46298</x:v>
      </x:c>
      <x:c r="R178" t="str">
        <x:v>2026</x:v>
      </x:c>
      <x:c r="S178" t="str">
        <x:v>CU 공식홈페이지(포켓CU)</x:v>
      </x:c>
      <x:c r="T178" t="str">
        <x:v>https://cu.bgfretail.com/product/product.do?category=04</x:v>
      </x:c>
      <x:c r="U178" s="23" t="str">
        <x:v>공식 상품목록에서 참이슬 후레쉬 360ml의 개별 상품·가격을 확인할 수 없음. 기존 가격 1,950원은 사용 보류</x:v>
      </x:c>
    </x:row>
    <x:row r="179" ht="36" customHeight="1">
      <x:c r="A179" t="str">
        <x:v>SEL-FD-011</x:v>
      </x:c>
      <x:c r="B179" t="str">
        <x:v>한국</x:v>
      </x:c>
      <x:c r="C179" t="str">
        <x:v>서울</x:v>
      </x:c>
      <x:c r="D179" t="str">
        <x:v>외식</x:v>
      </x:c>
      <x:c r="E179" t="str">
        <x:v>주류</x:v>
      </x:c>
      <x:c r="F179" t="str">
        <x:v>교촌치킨 생맥주</x:v>
      </x:c>
      <x:c r="G179" t="str">
        <x:v>Kyochon Draft Beer (500ml)</x:v>
      </x:c>
      <x:c r="H179" s="55"/>
      <x:c r="I179" s="55"/>
      <x:c r="J179" t="str">
        <x:v>KRW</x:v>
      </x:c>
      <x:c r="K179" t="str">
        <x:v>1잔 500ml</x:v>
      </x:c>
      <x:c r="L179" t="str">
        <x:v>고정형</x:v>
      </x:c>
      <x:c r="M179" t="str">
        <x:v>일반</x:v>
      </x:c>
      <x:c r="N179" t="str">
        <x:v>D 보류</x:v>
      </x:c>
      <x:c r="O179" t="str">
        <x:v>아니오</x:v>
      </x:c>
      <x:c r="P179" t="str">
        <x:v>보류</x:v>
      </x:c>
      <x:c r="Q179" s="51" t="n">
        <x:v>46298</x:v>
      </x:c>
      <x:c r="R179" t="str">
        <x:v>2026</x:v>
      </x:c>
      <x:c r="S179" t="str">
        <x:v>교촌치킨 공식 음료 메뉴</x:v>
      </x:c>
      <x:c r="T179" t="str">
        <x:v>https://www.kyochon.com/menu/drink.asp</x:v>
      </x:c>
      <x:c r="U179" s="23" t="str">
        <x:v>현재 공식 음료 메뉴에 카스 생맥주 500cc가 없어 기존 가격 5,000원을 확인할 수 없음. 사용 보류</x:v>
      </x:c>
    </x:row>
    <x:row r="180" ht="36" customHeight="1">
      <x:c r="A180" t="str">
        <x:v>SEL-SV-001</x:v>
      </x:c>
      <x:c r="B180" t="str">
        <x:v>한국</x:v>
      </x:c>
      <x:c r="C180" t="str">
        <x:v>서울</x:v>
      </x:c>
      <x:c r="D180" t="str">
        <x:v>기념품</x:v>
      </x:c>
      <x:c r="E180" t="str">
        <x:v>식품</x:v>
      </x:c>
      <x:c r="F180" t="str">
        <x:v>정관장 활기력 (20ml x 10병)</x:v>
      </x:c>
      <x:c r="G180" t="str">
        <x:v>CheongKwanJang HwalGiRyeok (20ml x 10)</x:v>
      </x:c>
      <x:c r="H180" s="55"/>
      <x:c r="I180" s="55"/>
      <x:c r="J180" t="str">
        <x:v>KRW</x:v>
      </x:c>
      <x:c r="K180" t="str">
        <x:v>1상자</x:v>
      </x:c>
      <x:c r="L180" t="str">
        <x:v>고정형</x:v>
      </x:c>
      <x:c r="M180" t="str">
        <x:v>일반</x:v>
      </x:c>
      <x:c r="N180" t="str">
        <x:v>D 보류</x:v>
      </x:c>
      <x:c r="O180" t="str">
        <x:v>아니오</x:v>
      </x:c>
      <x:c r="P180" t="str">
        <x:v>보류</x:v>
      </x:c>
      <x:c r="Q180" s="51" t="n">
        <x:v>46298</x:v>
      </x:c>
      <x:c r="R180" t="str">
        <x:v>2026</x:v>
      </x:c>
      <x:c r="S180" t="str">
        <x:v>정관장 공식몰 케이지씨몰</x:v>
      </x:c>
      <x:c r="T180" t="str">
        <x:v>https://www.kgc.co.kr/goods/detail.do?gno=201506040003</x:v>
      </x:c>
      <x:c r="U180" s="23" t="str">
        <x:v>제품 URL이 공식 홈페이지에서 찾을 수 없는 페이지로 응답. 현재 공식몰에서 같은 상품의 판매가격을 확인하지 못해 기존 30,000원 사용 보류</x:v>
      </x:c>
    </x:row>
    <x:row r="181" ht="36" customHeight="1">
      <x:c r="A181" t="str">
        <x:v>SEL-SV-002</x:v>
      </x:c>
      <x:c r="B181" t="str">
        <x:v>한국</x:v>
      </x:c>
      <x:c r="C181" t="str">
        <x:v>서울</x:v>
      </x:c>
      <x:c r="D181" t="str">
        <x:v>기념품</x:v>
      </x:c>
      <x:c r="E181" t="str">
        <x:v>식품</x:v>
      </x:c>
      <x:c r="F181" t="str">
        <x:v>오리온 마켓오 리얼브라우니 (8개입)</x:v>
      </x:c>
      <x:c r="G181" t="str">
        <x:v>Market O Real Brownie (8pcs)</x:v>
      </x:c>
      <x:c r="H181" s="55"/>
      <x:c r="I181" s="55"/>
      <x:c r="J181" t="str">
        <x:v>KRW</x:v>
      </x:c>
      <x:c r="K181" t="str">
        <x:v>1상자</x:v>
      </x:c>
      <x:c r="L181" t="str">
        <x:v>고정형</x:v>
      </x:c>
      <x:c r="M181" t="str">
        <x:v>일반</x:v>
      </x:c>
      <x:c r="N181" t="str">
        <x:v>D 보류</x:v>
      </x:c>
      <x:c r="O181" t="str">
        <x:v>아니오</x:v>
      </x:c>
      <x:c r="P181" t="str">
        <x:v>보류</x:v>
      </x:c>
      <x:c r="Q181" s="51" t="n">
        <x:v>46298</x:v>
      </x:c>
      <x:c r="R181" t="str">
        <x:v>2026</x:v>
      </x:c>
      <x:c r="S181" t="str">
        <x:v>오리온 공식 직영스토어</x:v>
      </x:c>
      <x:c r="T181" t="str">
        <x:v>https://smartstore.naver.com/orion_store/products/5679549323</x:v>
      </x:c>
      <x:c r="U181" s="23" t="str">
        <x:v>공식 직영스토어의 상품 URL이 네이버 로그인으로 연결되어 제품 가격을 직접 확인할 수 없음. 기존 3,600원 사용 보류</x:v>
      </x:c>
    </x:row>
    <x:row r="182" ht="36" customHeight="1">
      <x:c r="A182" t="str">
        <x:v>SEL-SV-003</x:v>
      </x:c>
      <x:c r="B182" t="str">
        <x:v>한국</x:v>
      </x:c>
      <x:c r="C182" t="str">
        <x:v>서울</x:v>
      </x:c>
      <x:c r="D182" t="str">
        <x:v>기념품</x:v>
      </x:c>
      <x:c r="E182" t="str">
        <x:v>잡화</x:v>
      </x:c>
      <x:c r="F182" t="str">
        <x:v>국립중앙박물관 뮤지엄숍 뮷즈 자개 마그넷</x:v>
      </x:c>
      <x:c r="G182" t="str">
        <x:v>National Museum Mother of Pearl Magnet</x:v>
      </x:c>
      <x:c r="H182" s="55"/>
      <x:c r="I182" s="55"/>
      <x:c r="J182" t="str">
        <x:v>KRW</x:v>
      </x:c>
      <x:c r="K182" t="str">
        <x:v>1개</x:v>
      </x:c>
      <x:c r="L182" t="str">
        <x:v>고정형</x:v>
      </x:c>
      <x:c r="M182" t="str">
        <x:v>일반</x:v>
      </x:c>
      <x:c r="N182" t="str">
        <x:v>D 보류</x:v>
      </x:c>
      <x:c r="O182" t="str">
        <x:v>아니오</x:v>
      </x:c>
      <x:c r="P182" t="str">
        <x:v>보류</x:v>
      </x:c>
      <x:c r="Q182" s="51" t="n">
        <x:v>46298</x:v>
      </x:c>
      <x:c r="R182" t="str">
        <x:v>2026</x:v>
      </x:c>
      <x:c r="S182" t="str">
        <x:v>국립박물관문화재단 뮷즈(MU:DS) 공식몰</x:v>
      </x:c>
      <x:c r="T182" t="str">
        <x:v>https://www.museumshop.or.kr/shop/goods/goods_view.php?goodsno=3619</x:v>
      </x:c>
      <x:c r="U182" s="23" t="str">
        <x:v>공식 상품 페이지가 오류 응답을 반환해 같은 상품의 현재 판매가격을 확인할 수 없음. 기존 7,000원 사용 보류</x:v>
      </x:c>
    </x:row>
    <x:row r="183" ht="36" customHeight="1">
      <x:c r="A183" t="str">
        <x:v>SEL-FD-012</x:v>
      </x:c>
      <x:c r="B183" t="str">
        <x:v>한국</x:v>
      </x:c>
      <x:c r="C183" t="str">
        <x:v>서울</x:v>
      </x:c>
      <x:c r="D183" t="str">
        <x:v>외식</x:v>
      </x:c>
      <x:c r="E183" t="str">
        <x:v>저가 한끼</x:v>
      </x:c>
      <x:c r="F183" t="str">
        <x:v>한솥 프리미엄 진달래</x:v>
      </x:c>
      <x:c r="G183" t="str">
        <x:v>Hansot Premium Jindallae Lunchbox</x:v>
      </x:c>
      <x:c r="H183" s="55" t="n">
        <x:v>8800</x:v>
      </x:c>
      <x:c r="I183" s="55" t="n">
        <x:v>8800</x:v>
      </x:c>
      <x:c r="J183" t="str">
        <x:v>KRW</x:v>
      </x:c>
      <x:c r="K183" t="str">
        <x:v>1개</x:v>
      </x:c>
      <x:c r="L183" t="str">
        <x:v>고정형</x:v>
      </x:c>
      <x:c r="M183" t="str">
        <x:v>일반</x:v>
      </x:c>
      <x:c r="N183" t="str">
        <x:v>A 공식</x:v>
      </x:c>
      <x:c r="O183" t="str">
        <x:v>예</x:v>
      </x:c>
      <x:c r="P183" t="str">
        <x:v>확정 1차</x:v>
      </x:c>
      <x:c r="Q183" s="51" t="n">
        <x:v>46298</x:v>
      </x:c>
      <x:c r="R183" t="str">
        <x:v>2026-10-03 확인</x:v>
      </x:c>
      <x:c r="S183" t="str">
        <x:v>한솥</x:v>
      </x:c>
      <x:c r="T183" t="str">
        <x:v>https://www.hsd.co.kr/menu/menu_view/6</x:v>
      </x:c>
      <x:c r="U183" s="23" t="str">
        <x:v>공식 메뉴에 프리미엄 진달래 8,800원. 구성은 매장 및 재료 수급에 따라 달라질 수 있음.</x:v>
      </x:c>
    </x:row>
    <x:row r="184" ht="36" customHeight="1">
      <x:c r="A184" t="str">
        <x:v>SEL-FD-013</x:v>
      </x:c>
      <x:c r="B184" t="str">
        <x:v>한국</x:v>
      </x:c>
      <x:c r="C184" t="str">
        <x:v>서울</x:v>
      </x:c>
      <x:c r="D184" t="str">
        <x:v>외식</x:v>
      </x:c>
      <x:c r="E184" t="str">
        <x:v>저가 한끼</x:v>
      </x:c>
      <x:c r="F184" t="str">
        <x:v>도미노피자 포테이토 썹자 S</x:v>
      </x:c>
      <x:c r="G184" t="str">
        <x:v>Domino's Potato Subzza S</x:v>
      </x:c>
      <x:c r="H184" s="55" t="n">
        <x:v>7900</x:v>
      </x:c>
      <x:c r="I184" s="55" t="n">
        <x:v>7900</x:v>
      </x:c>
      <x:c r="J184" t="str">
        <x:v>KRW</x:v>
      </x:c>
      <x:c r="K184" t="str">
        <x:v>1개</x:v>
      </x:c>
      <x:c r="L184" t="str">
        <x:v>고정형</x:v>
      </x:c>
      <x:c r="M184" t="str">
        <x:v>일반</x:v>
      </x:c>
      <x:c r="N184" t="str">
        <x:v>A 공식</x:v>
      </x:c>
      <x:c r="O184" t="str">
        <x:v>예</x:v>
      </x:c>
      <x:c r="P184" t="str">
        <x:v>확정 1차</x:v>
      </x:c>
      <x:c r="Q184" s="51" t="n">
        <x:v>46298</x:v>
      </x:c>
      <x:c r="R184" t="str">
        <x:v>2026-10-03 확인</x:v>
      </x:c>
      <x:c r="S184" t="str">
        <x:v>한국 도미노피자</x:v>
      </x:c>
      <x:c r="T184" t="str">
        <x:v>https://web.dominos.co.kr/goods/list?dsp_ctgr=C0101</x:v>
      </x:c>
      <x:c r="U184" s="23" t="str">
        <x:v>공식 메뉴에 포테이토 Subzza S 7,900원. 일부 리조트·특수매장은 가격 차이 가능.</x:v>
      </x:c>
    </x:row>
    <x:row r="185" ht="36" customHeight="1">
      <x:c r="A185" t="str">
        <x:v>SEL-FD-014</x:v>
      </x:c>
      <x:c r="B185" t="str">
        <x:v>한국</x:v>
      </x:c>
      <x:c r="C185" t="str">
        <x:v>서울</x:v>
      </x:c>
      <x:c r="D185" t="str">
        <x:v>외식</x:v>
      </x:c>
      <x:c r="E185" t="str">
        <x:v>고가 한끼</x:v>
      </x:c>
      <x:c r="F185" t="str">
        <x:v>파파존스 수퍼 파파스 L</x:v>
      </x:c>
      <x:c r="G185" t="str">
        <x:v>Papa John's Super Papas L</x:v>
      </x:c>
      <x:c r="H185" s="55" t="n">
        <x:v>28500</x:v>
      </x:c>
      <x:c r="I185" s="55" t="n">
        <x:v>28500</x:v>
      </x:c>
      <x:c r="J185" t="str">
        <x:v>KRW</x:v>
      </x:c>
      <x:c r="K185" t="str">
        <x:v>1판</x:v>
      </x:c>
      <x:c r="L185" t="str">
        <x:v>고정형</x:v>
      </x:c>
      <x:c r="M185" t="str">
        <x:v>일반</x:v>
      </x:c>
      <x:c r="N185" t="str">
        <x:v>A 공식</x:v>
      </x:c>
      <x:c r="O185" t="str">
        <x:v>예</x:v>
      </x:c>
      <x:c r="P185" t="str">
        <x:v>확정 1차</x:v>
      </x:c>
      <x:c r="Q185" s="51" t="n">
        <x:v>46298</x:v>
      </x:c>
      <x:c r="R185" t="str">
        <x:v>2026-10-03 확인</x:v>
      </x:c>
      <x:c r="S185" t="str">
        <x:v>파파존스</x:v>
      </x:c>
      <x:c r="T185" t="str">
        <x:v>https://www.pji.co.kr/</x:v>
      </x:c>
      <x:c r="U185" s="23" t="str">
        <x:v>공식 홈페이지 인기 메뉴에 수퍼 파파스 L 28,500원, F 33,900원으로 표시. L 사이즈 가격을 기록.</x:v>
      </x:c>
    </x:row>
    <x:row r="186" ht="36" customHeight="1">
      <x:c r="A186" t="str">
        <x:v>SEL-FD-015</x:v>
      </x:c>
      <x:c r="B186" t="str">
        <x:v>한국</x:v>
      </x:c>
      <x:c r="C186" t="str">
        <x:v>서울</x:v>
      </x:c>
      <x:c r="D186" t="str">
        <x:v>외식</x:v>
      </x:c>
      <x:c r="E186" t="str">
        <x:v>중가 한끼</x:v>
      </x:c>
      <x:c r="F186" t="str">
        <x:v>교촌치킨 후라이드한마리</x:v>
      </x:c>
      <x:c r="G186" t="str">
        <x:v>Kyochon Fried Chicken Whole</x:v>
      </x:c>
      <x:c r="H186" s="55" t="n">
        <x:v>21000</x:v>
      </x:c>
      <x:c r="I186" s="55" t="n">
        <x:v>21000</x:v>
      </x:c>
      <x:c r="J186" t="str">
        <x:v>KRW</x:v>
      </x:c>
      <x:c r="K186" t="str">
        <x:v>1마리</x:v>
      </x:c>
      <x:c r="L186" t="str">
        <x:v>고정형</x:v>
      </x:c>
      <x:c r="M186" t="str">
        <x:v>일반</x:v>
      </x:c>
      <x:c r="N186" t="str">
        <x:v>A 공식</x:v>
      </x:c>
      <x:c r="O186" t="str">
        <x:v>예</x:v>
      </x:c>
      <x:c r="P186" t="str">
        <x:v>확정 1차</x:v>
      </x:c>
      <x:c r="Q186" s="51" t="n">
        <x:v>46298</x:v>
      </x:c>
      <x:c r="R186" t="str">
        <x:v>2026-10-03 확인</x:v>
      </x:c>
      <x:c r="S186" t="str">
        <x:v>교촌치킨</x:v>
      </x:c>
      <x:c r="T186" t="str">
        <x:v>https://www.kyochon.com/menu/chicken.asp</x:v>
      </x:c>
      <x:c r="U186" s="23" t="str">
        <x:v>공식 메뉴 권장소비자가 21,000원. 10호 닭(951~1,050g), 겉보리소금 포함.</x:v>
      </x:c>
    </x:row>
    <x:row r="187" ht="36" customHeight="1">
      <x:c r="A187" t="str">
        <x:v>SEL-FD-016</x:v>
      </x:c>
      <x:c r="B187" t="str">
        <x:v>한국</x:v>
      </x:c>
      <x:c r="C187" t="str">
        <x:v>서울</x:v>
      </x:c>
      <x:c r="D187" t="str">
        <x:v>외식</x:v>
      </x:c>
      <x:c r="E187" t="str">
        <x:v>중가 한끼</x:v>
      </x:c>
      <x:c r="F187" t="str">
        <x:v>파파이스 치킨 8조각+음료 2잔 세트</x:v>
      </x:c>
      <x:c r="G187" t="str">
        <x:v>Popeyes 8-Piece Chicken and 2 Drinks Set</x:v>
      </x:c>
      <x:c r="H187" s="55" t="n">
        <x:v>14900</x:v>
      </x:c>
      <x:c r="I187" s="55" t="n">
        <x:v>14900</x:v>
      </x:c>
      <x:c r="J187" t="str">
        <x:v>KRW</x:v>
      </x:c>
      <x:c r="K187" t="str">
        <x:v>1세트</x:v>
      </x:c>
      <x:c r="L187" t="str">
        <x:v>기간형</x:v>
      </x:c>
      <x:c r="M187" t="str">
        <x:v>일반</x:v>
      </x:c>
      <x:c r="N187" t="str">
        <x:v>A 공식</x:v>
      </x:c>
      <x:c r="O187" t="str">
        <x:v>예</x:v>
      </x:c>
      <x:c r="P187" t="str">
        <x:v>확정 1차</x:v>
      </x:c>
      <x:c r="Q187" s="51" t="n">
        <x:v>46298</x:v>
      </x:c>
      <x:c r="R187" t="str">
        <x:v>2026-09-14~2026-10-11</x:v>
      </x:c>
      <x:c r="S187" t="str">
        <x:v>파파이스</x:v>
      </x:c>
      <x:c r="T187" t="str">
        <x:v>https://popeyes.co.kr/event/62</x:v>
      </x:c>
      <x:c r="U187" s="23" t="str">
        <x:v>공식 행사 가격 14,900원. 매장/포장 전용, 전 매장 대상이며 재고 소진 시 조기 종료 가능. 치킨 2종 4+4조각과 음료 2잔 구성.</x:v>
      </x:c>
    </x:row>
    <x:row r="188" ht="36" customHeight="1">
      <x:c r="A188" t="str">
        <x:v>SEL-SV-004</x:v>
      </x:c>
      <x:c r="B188" t="str">
        <x:v>한국</x:v>
      </x:c>
      <x:c r="C188" t="str">
        <x:v>서울</x:v>
      </x:c>
      <x:c r="D188" t="str">
        <x:v>기념품</x:v>
      </x:c>
      <x:c r="E188" t="str">
        <x:v>식품</x:v>
      </x:c>
      <x:c r="F188" t="str">
        <x:v>오설록 차의 정원 9종 27입</x:v>
      </x:c>
      <x:c r="G188" t="str">
        <x:v>Osulloc Tea Garden 9 Types, 27 Bags</x:v>
      </x:c>
      <x:c r="H188" s="55" t="n">
        <x:v>54000</x:v>
      </x:c>
      <x:c r="I188" s="55" t="n">
        <x:v>54000</x:v>
      </x:c>
      <x:c r="J188" t="str">
        <x:v>KRW</x:v>
      </x:c>
      <x:c r="K188" t="str">
        <x:v>1상자</x:v>
      </x:c>
      <x:c r="L188" t="str">
        <x:v>고정형</x:v>
      </x:c>
      <x:c r="M188" t="str">
        <x:v>일반</x:v>
      </x:c>
      <x:c r="N188" t="str">
        <x:v>A 공식</x:v>
      </x:c>
      <x:c r="O188" t="str">
        <x:v>예</x:v>
      </x:c>
      <x:c r="P188" t="str">
        <x:v>확정 1차</x:v>
      </x:c>
      <x:c r="Q188" s="51" t="n">
        <x:v>46298</x:v>
      </x:c>
      <x:c r="R188" t="str">
        <x:v>2026-10-03 확인</x:v>
      </x:c>
      <x:c r="S188" t="str">
        <x:v>오설록 공식몰</x:v>
      </x:c>
      <x:c r="T188" t="str">
        <x:v>https://www.osulloc.com/kr/ko/shop/item/teashop/21773</x:v>
      </x:c>
      <x:c r="U188" s="23" t="str">
        <x:v>공식 상품 페이지 판매가 54,000원. 선물포장 옵션은 별도 금액.</x:v>
      </x:c>
    </x:row>
    <x:row r="189" ht="36" customHeight="1">
      <x:c r="A189" t="str">
        <x:v>SEL-SV-005</x:v>
      </x:c>
      <x:c r="B189" t="str">
        <x:v>한국</x:v>
      </x:c>
      <x:c r="C189" t="str">
        <x:v>서울</x:v>
      </x:c>
      <x:c r="D189" t="str">
        <x:v>기념품</x:v>
      </x:c>
      <x:c r="E189" t="str">
        <x:v>식품</x:v>
      </x:c>
      <x:c r="F189" t="str">
        <x:v>정관장 홍삼톤골드 40mL 30포</x:v>
      </x:c>
      <x:c r="G189" t="str">
        <x:v>CheongKwanJang Hongsamton Gold 40ml x 30</x:v>
      </x:c>
      <x:c r="H189" s="55" t="n">
        <x:v>179000</x:v>
      </x:c>
      <x:c r="I189" s="55" t="n">
        <x:v>179000</x:v>
      </x:c>
      <x:c r="J189" t="str">
        <x:v>KRW</x:v>
      </x:c>
      <x:c r="K189" t="str">
        <x:v>1상자</x:v>
      </x:c>
      <x:c r="L189" t="str">
        <x:v>고정형</x:v>
      </x:c>
      <x:c r="M189" t="str">
        <x:v>일반</x:v>
      </x:c>
      <x:c r="N189" t="str">
        <x:v>A 공식</x:v>
      </x:c>
      <x:c r="O189" t="str">
        <x:v>예</x:v>
      </x:c>
      <x:c r="P189" t="str">
        <x:v>확정 1차</x:v>
      </x:c>
      <x:c r="Q189" s="51" t="n">
        <x:v>46298</x:v>
      </x:c>
      <x:c r="R189" t="str">
        <x:v>2026-10-03 확인</x:v>
      </x:c>
      <x:c r="S189" t="str">
        <x:v>정관장</x:v>
      </x:c>
      <x:c r="T189" t="str">
        <x:v>https://www.jungkwanjang.co.kr/products/view.do?id=376&amp;ref_id=311</x:v>
      </x:c>
      <x:c r="U189" s="23" t="str">
        <x:v>정관장 공식 제품 상세에 179,000원, 40mL×30포로 표시. 제조·판매원은 한국인삼공사.</x:v>
      </x:c>
    </x:row>
    <x:row r="190" ht="36" customHeight="1">
      <x:c r="A190" t="str">
        <x:v>SEL-SV-006</x:v>
      </x:c>
      <x:c r="B190" t="str">
        <x:v>한국</x:v>
      </x:c>
      <x:c r="C190" t="str">
        <x:v>서울</x:v>
      </x:c>
      <x:c r="D190" t="str">
        <x:v>기념품</x:v>
      </x:c>
      <x:c r="E190" t="str">
        <x:v>잡화</x:v>
      </x:c>
      <x:c r="F190" t="str">
        <x:v>뮷즈 갓 책갈피</x:v>
      </x:c>
      <x:c r="G190" t="str">
        <x:v>MU:DS Gat Bookmark</x:v>
      </x:c>
      <x:c r="H190" s="55" t="n">
        <x:v>10000</x:v>
      </x:c>
      <x:c r="I190" s="55" t="n">
        <x:v>10000</x:v>
      </x:c>
      <x:c r="J190" t="str">
        <x:v>KRW</x:v>
      </x:c>
      <x:c r="K190" t="str">
        <x:v>1개</x:v>
      </x:c>
      <x:c r="L190" t="str">
        <x:v>고정형</x:v>
      </x:c>
      <x:c r="M190" t="str">
        <x:v>일반</x:v>
      </x:c>
      <x:c r="N190" t="str">
        <x:v>A 공식</x:v>
      </x:c>
      <x:c r="O190" t="str">
        <x:v>예</x:v>
      </x:c>
      <x:c r="P190" t="str">
        <x:v>확정 1차</x:v>
      </x:c>
      <x:c r="Q190" s="51" t="n">
        <x:v>46298</x:v>
      </x:c>
      <x:c r="R190" t="str">
        <x:v>2026-10-03 확인</x:v>
      </x:c>
      <x:c r="S190" t="str">
        <x:v>국립박물관문화재단 뮷즈 공식몰</x:v>
      </x:c>
      <x:c r="T190" t="str">
        <x:v>https://www.museumshop.or.kr/kor/main.do</x:v>
      </x:c>
      <x:c r="U190" s="23" t="str">
        <x:v>공식몰 상품 목록에 갓 책갈피 10,000원.</x:v>
      </x:c>
    </x:row>
    <x:row r="191" ht="36" customHeight="1">
      <x:c r="A191" t="str">
        <x:v>IST-TR-001</x:v>
      </x:c>
      <x:c r="B191" t="str">
        <x:v>튀르키예</x:v>
      </x:c>
      <x:c r="C191" t="str">
        <x:v>이스탄불</x:v>
      </x:c>
      <x:c r="D191" t="str">
        <x:v>교통</x:v>
      </x:c>
      <x:c r="E191" t="str">
        <x:v>도시철도 1회권</x:v>
      </x:c>
      <x:c r="F191" t="str">
        <x:v>Metro İstanbul 익명 İstanbulkart 일반 편도</x:v>
      </x:c>
      <x:c r="G191" t="str">
        <x:v>Metro Istanbul Anonymous Istanbulkart Full Fare</x:v>
      </x:c>
      <x:c r="H191" s="55" t="n">
        <x:v>46.2</x:v>
      </x:c>
      <x:c r="I191" s="55" t="n">
        <x:v>46.2</x:v>
      </x:c>
      <x:c r="J191" t="str">
        <x:v>TRY</x:v>
      </x:c>
      <x:c r="K191" t="str">
        <x:v>1회</x:v>
      </x:c>
      <x:c r="L191" t="str">
        <x:v>고정형</x:v>
      </x:c>
      <x:c r="M191" t="str">
        <x:v>성인</x:v>
      </x:c>
      <x:c r="N191" t="str">
        <x:v>A 공식</x:v>
      </x:c>
      <x:c r="O191" t="str">
        <x:v>예</x:v>
      </x:c>
      <x:c r="P191" t="str">
        <x:v>확정 1차</x:v>
      </x:c>
      <x:c r="Q191" s="51" t="n">
        <x:v>46298</x:v>
      </x:c>
      <x:c r="R191" t="str">
        <x:v>2026-10-03 확인</x:v>
      </x:c>
      <x:c r="S191" t="str">
        <x:v>Metro İstanbul</x:v>
      </x:c>
      <x:c r="T191" t="str">
        <x:v>https://www.metro.istanbul/seferdurumlari/biletucretleri</x:v>
      </x:c>
      <x:c r="U191" s="23" t="str">
        <x:v>운영사 공식 요금표의 익명 카드 일반 운임 46.20 TRY.</x:v>
      </x:c>
    </x:row>
    <x:row r="192" ht="36" customHeight="1">
      <x:c r="A192" t="str">
        <x:v>IST-TR-002</x:v>
      </x:c>
      <x:c r="B192" t="str">
        <x:v>튀르키예</x:v>
      </x:c>
      <x:c r="C192" t="str">
        <x:v>이스탄불</x:v>
      </x:c>
      <x:c r="D192" t="str">
        <x:v>교통</x:v>
      </x:c>
      <x:c r="E192" t="str">
        <x:v>도시철도 1회권</x:v>
      </x:c>
      <x:c r="F192" t="str">
        <x:v>Metro İstanbul 1회권 전자티켓</x:v>
      </x:c>
      <x:c r="G192" t="str">
        <x:v>Metro Istanbul One-Pass Electronic Ticket</x:v>
      </x:c>
      <x:c r="H192" s="55" t="n">
        <x:v>65</x:v>
      </x:c>
      <x:c r="I192" s="55" t="n">
        <x:v>65</x:v>
      </x:c>
      <x:c r="J192" t="str">
        <x:v>TRY</x:v>
      </x:c>
      <x:c r="K192" t="str">
        <x:v>1회</x:v>
      </x:c>
      <x:c r="L192" t="str">
        <x:v>고정형</x:v>
      </x:c>
      <x:c r="M192" t="str">
        <x:v>일반</x:v>
      </x:c>
      <x:c r="N192" t="str">
        <x:v>A 공식</x:v>
      </x:c>
      <x:c r="O192" t="str">
        <x:v>예</x:v>
      </x:c>
      <x:c r="P192" t="str">
        <x:v>확정 1차</x:v>
      </x:c>
      <x:c r="Q192" s="51" t="n">
        <x:v>46298</x:v>
      </x:c>
      <x:c r="R192" t="str">
        <x:v>2026-10-03 확인</x:v>
      </x:c>
      <x:c r="S192" t="str">
        <x:v>Metro İstanbul</x:v>
      </x:c>
      <x:c r="T192" t="str">
        <x:v>https://www.metro.istanbul/seferdurumlari/biletucretleri</x:v>
      </x:c>
      <x:c r="U192" s="23" t="str">
        <x:v>운영사 공식 요금표의 Bir Geçişlik Kart 65 TRY.</x:v>
      </x:c>
    </x:row>
    <x:row r="193" ht="36" customHeight="1">
      <x:c r="A193" t="str">
        <x:v>IST-TR-003</x:v>
      </x:c>
      <x:c r="B193" t="str">
        <x:v>튀르키예</x:v>
      </x:c>
      <x:c r="C193" t="str">
        <x:v>이스탄불</x:v>
      </x:c>
      <x:c r="D193" t="str">
        <x:v>교통</x:v>
      </x:c>
      <x:c r="E193" t="str">
        <x:v>페리 1회권</x:v>
      </x:c>
      <x:c r="F193" t="str">
        <x:v>Şehir Hatları 카라쿄이–카드쾨이 편도</x:v>
      </x:c>
      <x:c r="G193" t="str">
        <x:v>Şehir Hatları Karaköy–Kadıköy One Way</x:v>
      </x:c>
      <x:c r="H193" s="55" t="n">
        <x:v>65.21</x:v>
      </x:c>
      <x:c r="I193" s="55" t="n">
        <x:v>65.21</x:v>
      </x:c>
      <x:c r="J193" t="str">
        <x:v>TRY</x:v>
      </x:c>
      <x:c r="K193" t="str">
        <x:v>1회</x:v>
      </x:c>
      <x:c r="L193" t="str">
        <x:v>고정형</x:v>
      </x:c>
      <x:c r="M193" t="str">
        <x:v>성인</x:v>
      </x:c>
      <x:c r="N193" t="str">
        <x:v>A 공식</x:v>
      </x:c>
      <x:c r="O193" t="str">
        <x:v>예</x:v>
      </x:c>
      <x:c r="P193" t="str">
        <x:v>확정 1차</x:v>
      </x:c>
      <x:c r="Q193" s="51" t="n">
        <x:v>46298</x:v>
      </x:c>
      <x:c r="R193" t="str">
        <x:v>2026-10-03 확인</x:v>
      </x:c>
      <x:c r="S193" t="str">
        <x:v>Şehir Hatları</x:v>
      </x:c>
      <x:c r="T193" t="str">
        <x:v>https://sehirhatlari.istanbul/tr/ucret-tarifeleri/vapur-hatlari-79</x:v>
      </x:c>
      <x:c r="U193" s="23" t="str">
        <x:v>공식 중심 노선표에서 Karaköy–Kadıköy 일반(İstanbulkart Tam) 65.21 TRY.</x:v>
      </x:c>
    </x:row>
    <x:row r="194" ht="36" customHeight="1">
      <x:c r="A194" t="str">
        <x:v>IST-AP-001</x:v>
      </x:c>
      <x:c r="B194" t="str">
        <x:v>튀르키예</x:v>
      </x:c>
      <x:c r="C194" t="str">
        <x:v>이스탄불</x:v>
      </x:c>
      <x:c r="D194" t="str">
        <x:v>공항이동</x:v>
      </x:c>
      <x:c r="E194" t="str">
        <x:v>공항버스</x:v>
      </x:c>
      <x:c r="F194" t="str">
        <x:v>HAVAİST 이스탄불 공항–실리브리 오토가르 편도</x:v>
      </x:c>
      <x:c r="G194" t="str">
        <x:v>HAVAİST Istanbul Airport–Silivri Otogar One Way</x:v>
      </x:c>
      <x:c r="H194" s="55" t="n">
        <x:v>450</x:v>
      </x:c>
      <x:c r="I194" s="55" t="n">
        <x:v>450</x:v>
      </x:c>
      <x:c r="J194" t="str">
        <x:v>TRY</x:v>
      </x:c>
      <x:c r="K194" t="str">
        <x:v>성인 1인 편도</x:v>
      </x:c>
      <x:c r="L194" t="str">
        <x:v>고정형</x:v>
      </x:c>
      <x:c r="M194" t="str">
        <x:v>일반</x:v>
      </x:c>
      <x:c r="N194" t="str">
        <x:v>A 공식</x:v>
      </x:c>
      <x:c r="O194" t="str">
        <x:v>예</x:v>
      </x:c>
      <x:c r="P194" t="str">
        <x:v>확정 1차</x:v>
      </x:c>
      <x:c r="Q194" s="51" t="n">
        <x:v>46298</x:v>
      </x:c>
      <x:c r="R194" t="str">
        <x:v>2026-10-03 확인</x:v>
      </x:c>
      <x:c r="S194" t="str">
        <x:v>HAVAİST</x:v>
      </x:c>
      <x:c r="T194" t="str">
        <x:v>https://my.hava.ist/buy-ticket</x:v>
      </x:c>
      <x:c r="U194" s="23" t="str">
        <x:v>공식 예매 화면에서 İstanbul Havalimanı→Silivri Otogar, 승객 1명 선택 후 표시된 편도 운임 ₺450. 예매 진행 단계는 선택하지 않음.</x:v>
      </x:c>
    </x:row>
    <x:row r="195" ht="36" customHeight="1">
      <x:c r="A195" t="str">
        <x:v>IST-AP-002</x:v>
      </x:c>
      <x:c r="B195" t="str">
        <x:v>튀르키예</x:v>
      </x:c>
      <x:c r="C195" t="str">
        <x:v>이스탄불</x:v>
      </x:c>
      <x:c r="D195" t="str">
        <x:v>공항이동</x:v>
      </x:c>
      <x:c r="E195" t="str">
        <x:v>공항버스</x:v>
      </x:c>
      <x:c r="F195" t="str">
        <x:v>HAVAİST 이스탄불 공항–셀림파샤 편도</x:v>
      </x:c>
      <x:c r="G195" t="str">
        <x:v>HAVAİST Istanbul Airport–Selimpaşa One Way</x:v>
      </x:c>
      <x:c r="H195" s="55" t="n">
        <x:v>450</x:v>
      </x:c>
      <x:c r="I195" s="55" t="n">
        <x:v>450</x:v>
      </x:c>
      <x:c r="J195" t="str">
        <x:v>TRY</x:v>
      </x:c>
      <x:c r="K195" t="str">
        <x:v>성인 1인 편도</x:v>
      </x:c>
      <x:c r="L195" t="str">
        <x:v>고정형</x:v>
      </x:c>
      <x:c r="M195" t="str">
        <x:v>일반</x:v>
      </x:c>
      <x:c r="N195" t="str">
        <x:v>A 공식</x:v>
      </x:c>
      <x:c r="O195" t="str">
        <x:v>예</x:v>
      </x:c>
      <x:c r="P195" t="str">
        <x:v>확정 1차</x:v>
      </x:c>
      <x:c r="Q195" s="51" t="n">
        <x:v>46298</x:v>
      </x:c>
      <x:c r="R195" t="str">
        <x:v>2026-10-03 확인</x:v>
      </x:c>
      <x:c r="S195" t="str">
        <x:v>HAVAİST</x:v>
      </x:c>
      <x:c r="T195" t="str">
        <x:v>https://my.hava.ist/buy-ticket</x:v>
      </x:c>
      <x:c r="U195" s="23" t="str">
        <x:v>공식 예매 화면에서 İstanbul Havalimanı→Selimpaşa, 승객 1명 선택 후 표시된 편도 운임 ₺450. 예매 진행 단계는 선택하지 않음.</x:v>
      </x:c>
    </x:row>
    <x:row r="196" ht="36" customHeight="1">
      <x:c r="A196" t="str">
        <x:v>IST-FD-001</x:v>
      </x:c>
      <x:c r="B196" t="str">
        <x:v>튀르키예</x:v>
      </x:c>
      <x:c r="C196" t="str">
        <x:v>이스탄불</x:v>
      </x:c>
      <x:c r="D196" t="str">
        <x:v>외식</x:v>
      </x:c>
      <x:c r="E196" t="str">
        <x:v>메뉴 표본</x:v>
      </x:c>
      <x:c r="F196" t="str">
        <x:v>Konak Restaurant 닭갈비구이 Tavuk Pirzola</x:v>
      </x:c>
      <x:c r="G196" t="str">
        <x:v>Konak Restaurant Grilled Chicken Chops</x:v>
      </x:c>
      <x:c r="H196" s="55" t="n">
        <x:v>460</x:v>
      </x:c>
      <x:c r="I196" s="55" t="n">
        <x:v>460</x:v>
      </x:c>
      <x:c r="J196" t="str">
        <x:v>TRY</x:v>
      </x:c>
      <x:c r="K196" t="str">
        <x:v>1인분</x:v>
      </x:c>
      <x:c r="L196" t="str">
        <x:v>메뉴형</x:v>
      </x:c>
      <x:c r="M196" t="str">
        <x:v>일반</x:v>
      </x:c>
      <x:c r="N196" t="str">
        <x:v>A 공식</x:v>
      </x:c>
      <x:c r="O196" t="str">
        <x:v>예</x:v>
      </x:c>
      <x:c r="P196" t="str">
        <x:v>확정 1차</x:v>
      </x:c>
      <x:c r="Q196" s="51" t="n">
        <x:v>46298</x:v>
      </x:c>
      <x:c r="R196" t="str">
        <x:v>2026-10-03 확인</x:v>
      </x:c>
      <x:c r="S196" t="str">
        <x:v>Konak Restaurant</x:v>
      </x:c>
      <x:c r="T196" t="str">
        <x:v>https://www.konakrestaurant.com/menu.html</x:v>
      </x:c>
      <x:c r="U196" s="23" t="str">
        <x:v>공식 메뉴의 Tavuk Pirzola 항목가 460 TRY. Büyükada 소재.</x:v>
      </x:c>
    </x:row>
    <x:row r="197" ht="36" customHeight="1">
      <x:c r="A197" t="str">
        <x:v>IST-FD-002</x:v>
      </x:c>
      <x:c r="B197" t="str">
        <x:v>튀르키예</x:v>
      </x:c>
      <x:c r="C197" t="str">
        <x:v>이스탄불</x:v>
      </x:c>
      <x:c r="D197" t="str">
        <x:v>외식</x:v>
      </x:c>
      <x:c r="E197" t="str">
        <x:v>메뉴 표본</x:v>
      </x:c>
      <x:c r="F197" t="str">
        <x:v>Saklı Kubbe 차으 케밥 2꼬치 100g</x:v>
      </x:c>
      <x:c r="G197" t="str">
        <x:v>Saklı Kubbe Cağ Kebab, 2 Skewers, 100 g</x:v>
      </x:c>
      <x:c r="H197" s="55" t="n">
        <x:v>580</x:v>
      </x:c>
      <x:c r="I197" s="55" t="n">
        <x:v>580</x:v>
      </x:c>
      <x:c r="J197" t="str">
        <x:v>TRY</x:v>
      </x:c>
      <x:c r="K197" t="str">
        <x:v>1인분 100g</x:v>
      </x:c>
      <x:c r="L197" t="str">
        <x:v>메뉴형</x:v>
      </x:c>
      <x:c r="M197" t="str">
        <x:v>일반</x:v>
      </x:c>
      <x:c r="N197" t="str">
        <x:v>A 공식</x:v>
      </x:c>
      <x:c r="O197" t="str">
        <x:v>예</x:v>
      </x:c>
      <x:c r="P197" t="str">
        <x:v>확정 1차</x:v>
      </x:c>
      <x:c r="Q197" s="51" t="n">
        <x:v>46298</x:v>
      </x:c>
      <x:c r="R197" t="str">
        <x:v>2026-05-12 적용</x:v>
      </x:c>
      <x:c r="S197" t="str">
        <x:v>Saklı Kubbe</x:v>
      </x:c>
      <x:c r="T197" t="str">
        <x:v>https://www.saklikubbe.com/menu/</x:v>
      </x:c>
      <x:c r="U197" s="23" t="str">
        <x:v>공식 메뉴에 2꼬치 100g 580 TRY, 가격 변경일 2026-05-12.</x:v>
      </x:c>
    </x:row>
    <x:row r="198" ht="36" customHeight="1">
      <x:c r="A198" t="str">
        <x:v>IST-FD-003</x:v>
      </x:c>
      <x:c r="B198" t="str">
        <x:v>튀르키예</x:v>
      </x:c>
      <x:c r="C198" t="str">
        <x:v>이스탄불</x:v>
      </x:c>
      <x:c r="D198" t="str">
        <x:v>외식</x:v>
      </x:c>
      <x:c r="E198" t="str">
        <x:v>메뉴 표본</x:v>
      </x:c>
      <x:c r="F198" t="str">
        <x:v>Pino Gare Tavuk Şiş</x:v>
      </x:c>
      <x:c r="G198" t="str">
        <x:v>Pino Gare Chicken Shish</x:v>
      </x:c>
      <x:c r="H198" s="55" t="n">
        <x:v>975</x:v>
      </x:c>
      <x:c r="I198" s="55" t="n">
        <x:v>975</x:v>
      </x:c>
      <x:c r="J198" t="str">
        <x:v>TRY</x:v>
      </x:c>
      <x:c r="K198" t="str">
        <x:v>1인분</x:v>
      </x:c>
      <x:c r="L198" t="str">
        <x:v>메뉴형</x:v>
      </x:c>
      <x:c r="M198" t="str">
        <x:v>일반</x:v>
      </x:c>
      <x:c r="N198" t="str">
        <x:v>A 공식</x:v>
      </x:c>
      <x:c r="O198" t="str">
        <x:v>예</x:v>
      </x:c>
      <x:c r="P198" t="str">
        <x:v>확정 1차</x:v>
      </x:c>
      <x:c r="Q198" s="51" t="n">
        <x:v>46298</x:v>
      </x:c>
      <x:c r="R198" t="str">
        <x:v>2026-10-03 확인</x:v>
      </x:c>
      <x:c r="S198" t="str">
        <x:v>Pino Gare Rooftop Restaurant</x:v>
      </x:c>
      <x:c r="T198" t="str">
        <x:v>https://pinogareroofrestaurant.com/tr/menu</x:v>
      </x:c>
      <x:c r="U198" s="23" t="str">
        <x:v>공식 메뉴의 tavuk but şiş 세트 975 TRY.</x:v>
      </x:c>
    </x:row>
    <x:row r="199" ht="36" customHeight="1">
      <x:c r="A199" t="str">
        <x:v>IST-FD-004</x:v>
      </x:c>
      <x:c r="B199" t="str">
        <x:v>튀르키예</x:v>
      </x:c>
      <x:c r="C199" t="str">
        <x:v>이스탄불</x:v>
      </x:c>
      <x:c r="D199" t="str">
        <x:v>외식</x:v>
      </x:c>
      <x:c r="E199" t="str">
        <x:v>메뉴 표본</x:v>
      </x:c>
      <x:c r="F199" t="str">
        <x:v>Lokanta Lobi Lobi Köftesi</x:v>
      </x:c>
      <x:c r="G199" t="str">
        <x:v>Lokanta Lobi Lobi Meatballs</x:v>
      </x:c>
      <x:c r="H199" s="55" t="n">
        <x:v>1400</x:v>
      </x:c>
      <x:c r="I199" s="55" t="n">
        <x:v>1400</x:v>
      </x:c>
      <x:c r="J199" t="str">
        <x:v>TRY</x:v>
      </x:c>
      <x:c r="K199" t="str">
        <x:v>1인분</x:v>
      </x:c>
      <x:c r="L199" t="str">
        <x:v>메뉴형</x:v>
      </x:c>
      <x:c r="M199" t="str">
        <x:v>일반</x:v>
      </x:c>
      <x:c r="N199" t="str">
        <x:v>A 공식</x:v>
      </x:c>
      <x:c r="O199" t="str">
        <x:v>예</x:v>
      </x:c>
      <x:c r="P199" t="str">
        <x:v>확정 1차</x:v>
      </x:c>
      <x:c r="Q199" s="51" t="n">
        <x:v>46298</x:v>
      </x:c>
      <x:c r="R199" t="str">
        <x:v>2026-10-03 확인</x:v>
      </x:c>
      <x:c r="S199" t="str">
        <x:v>Lokanta Lobi</x:v>
      </x:c>
      <x:c r="T199" t="str">
        <x:v>https://lokantalobi.com/menu/</x:v>
      </x:c>
      <x:c r="U199" s="23" t="str">
        <x:v>공식 메뉴의 구운 소고기 köfte와 감자 메뉴 1,400 TRY.</x:v>
      </x:c>
    </x:row>
    <x:row r="200" ht="36" customHeight="1">
      <x:c r="A200" t="str">
        <x:v>IST-FD-005</x:v>
      </x:c>
      <x:c r="B200" t="str">
        <x:v>튀르키예</x:v>
      </x:c>
      <x:c r="C200" t="str">
        <x:v>이스탄불</x:v>
      </x:c>
      <x:c r="D200" t="str">
        <x:v>외식</x:v>
      </x:c>
      <x:c r="E200" t="str">
        <x:v>메뉴 표본</x:v>
      </x:c>
      <x:c r="F200" t="str">
        <x:v>Cafe Şamdan Adana Kebap 150g</x:v>
      </x:c>
      <x:c r="G200" t="str">
        <x:v>Cafe Şamdan Adana Kebab, 150 g</x:v>
      </x:c>
      <x:c r="H200" s="55" t="n">
        <x:v>450</x:v>
      </x:c>
      <x:c r="I200" s="55" t="n">
        <x:v>450</x:v>
      </x:c>
      <x:c r="J200" t="str">
        <x:v>TRY</x:v>
      </x:c>
      <x:c r="K200" t="str">
        <x:v>1인분 150g</x:v>
      </x:c>
      <x:c r="L200" t="str">
        <x:v>메뉴형</x:v>
      </x:c>
      <x:c r="M200" t="str">
        <x:v>일반</x:v>
      </x:c>
      <x:c r="N200" t="str">
        <x:v>A 공식</x:v>
      </x:c>
      <x:c r="O200" t="str">
        <x:v>예</x:v>
      </x:c>
      <x:c r="P200" t="str">
        <x:v>확정 1차</x:v>
      </x:c>
      <x:c r="Q200" s="51" t="n">
        <x:v>46298</x:v>
      </x:c>
      <x:c r="R200" t="str">
        <x:v>2026-04-11 적용</x:v>
      </x:c>
      <x:c r="S200" t="str">
        <x:v>Cafe Şamdan</x:v>
      </x:c>
      <x:c r="T200" t="str">
        <x:v>https://www.cafesamdan.com.tr/</x:v>
      </x:c>
      <x:c r="U200" s="23" t="str">
        <x:v>공식 QR 메뉴의 Adana kebap 150g, 450 TRY. 가격 변경일 2026-04-11.</x:v>
      </x:c>
    </x:row>
    <x:row r="201" ht="36" customHeight="1">
      <x:c r="A201" t="str">
        <x:v>IST-SN-001</x:v>
      </x:c>
      <x:c r="B201" t="str">
        <x:v>튀르키예</x:v>
      </x:c>
      <x:c r="C201" t="str">
        <x:v>이스탄불</x:v>
      </x:c>
      <x:c r="D201" t="str">
        <x:v>외식</x:v>
      </x:c>
      <x:c r="E201" t="str">
        <x:v>음료</x:v>
      </x:c>
      <x:c r="F201" t="str">
        <x:v>Saklı Kubbe Beyoğlu Gazozu</x:v>
      </x:c>
      <x:c r="G201" t="str">
        <x:v>Saklı Kubbe Beyoğlu Gazoz</x:v>
      </x:c>
      <x:c r="H201" s="55" t="n">
        <x:v>100</x:v>
      </x:c>
      <x:c r="I201" s="55" t="n">
        <x:v>100</x:v>
      </x:c>
      <x:c r="J201" t="str">
        <x:v>TRY</x:v>
      </x:c>
      <x:c r="K201" t="str">
        <x:v>1병 250ml</x:v>
      </x:c>
      <x:c r="L201" t="str">
        <x:v>메뉴형</x:v>
      </x:c>
      <x:c r="M201" t="str">
        <x:v>일반</x:v>
      </x:c>
      <x:c r="N201" t="str">
        <x:v>A 공식</x:v>
      </x:c>
      <x:c r="O201" t="str">
        <x:v>예</x:v>
      </x:c>
      <x:c r="P201" t="str">
        <x:v>확정 1차</x:v>
      </x:c>
      <x:c r="Q201" s="51" t="n">
        <x:v>46298</x:v>
      </x:c>
      <x:c r="R201" t="str">
        <x:v>2026-05-12 적용</x:v>
      </x:c>
      <x:c r="S201" t="str">
        <x:v>Saklı Kubbe</x:v>
      </x:c>
      <x:c r="T201" t="str">
        <x:v>https://www.saklikubbe.com/menu/</x:v>
      </x:c>
      <x:c r="U201" s="23" t="str">
        <x:v>공식 메뉴의 Beyoğlu Gazozu 250ml 100 TRY.</x:v>
      </x:c>
    </x:row>
    <x:row r="202" ht="36" customHeight="1">
      <x:c r="A202" t="str">
        <x:v>IST-SN-002</x:v>
      </x:c>
      <x:c r="B202" t="str">
        <x:v>튀르키예</x:v>
      </x:c>
      <x:c r="C202" t="str">
        <x:v>이스탄불</x:v>
      </x:c>
      <x:c r="D202" t="str">
        <x:v>외식</x:v>
      </x:c>
      <x:c r="E202" t="str">
        <x:v>음료</x:v>
      </x:c>
      <x:c r="F202" t="str">
        <x:v>Saklı Kubbe Eker Tombul Ayran</x:v>
      </x:c>
      <x:c r="G202" t="str">
        <x:v>Saklı Kubbe Eker Tombul Ayran</x:v>
      </x:c>
      <x:c r="H202" s="55" t="n">
        <x:v>80</x:v>
      </x:c>
      <x:c r="I202" s="55" t="n">
        <x:v>80</x:v>
      </x:c>
      <x:c r="J202" t="str">
        <x:v>TRY</x:v>
      </x:c>
      <x:c r="K202" t="str">
        <x:v>1병 293ml</x:v>
      </x:c>
      <x:c r="L202" t="str">
        <x:v>메뉴형</x:v>
      </x:c>
      <x:c r="M202" t="str">
        <x:v>일반</x:v>
      </x:c>
      <x:c r="N202" t="str">
        <x:v>A 공식</x:v>
      </x:c>
      <x:c r="O202" t="str">
        <x:v>예</x:v>
      </x:c>
      <x:c r="P202" t="str">
        <x:v>확정 1차</x:v>
      </x:c>
      <x:c r="Q202" s="51" t="n">
        <x:v>46298</x:v>
      </x:c>
      <x:c r="R202" t="str">
        <x:v>2026-05-12 적용</x:v>
      </x:c>
      <x:c r="S202" t="str">
        <x:v>Saklı Kubbe</x:v>
      </x:c>
      <x:c r="T202" t="str">
        <x:v>https://www.saklikubbe.com/menu/</x:v>
      </x:c>
      <x:c r="U202" s="23" t="str">
        <x:v>공식 메뉴의 Eker Tombul Ayran 293ml 80 TRY.</x:v>
      </x:c>
    </x:row>
    <x:row r="203" ht="36" customHeight="1">
      <x:c r="A203" t="str">
        <x:v>IST-SN-003</x:v>
      </x:c>
      <x:c r="B203" t="str">
        <x:v>튀르키예</x:v>
      </x:c>
      <x:c r="C203" t="str">
        <x:v>이스탄불</x:v>
      </x:c>
      <x:c r="D203" t="str">
        <x:v>외식</x:v>
      </x:c>
      <x:c r="E203" t="str">
        <x:v>음료</x:v>
      </x:c>
      <x:c r="F203" t="str">
        <x:v>Saklı Kubbe 데운 차 한 잔</x:v>
      </x:c>
      <x:c r="G203" t="str">
        <x:v>Saklı Kubbe Brewed Tea, Glass</x:v>
      </x:c>
      <x:c r="H203" s="55" t="n">
        <x:v>35</x:v>
      </x:c>
      <x:c r="I203" s="55" t="n">
        <x:v>35</x:v>
      </x:c>
      <x:c r="J203" t="str">
        <x:v>TRY</x:v>
      </x:c>
      <x:c r="K203" t="str">
        <x:v>1잔</x:v>
      </x:c>
      <x:c r="L203" t="str">
        <x:v>메뉴형</x:v>
      </x:c>
      <x:c r="M203" t="str">
        <x:v>일반</x:v>
      </x:c>
      <x:c r="N203" t="str">
        <x:v>A 공식</x:v>
      </x:c>
      <x:c r="O203" t="str">
        <x:v>예</x:v>
      </x:c>
      <x:c r="P203" t="str">
        <x:v>확정 1차</x:v>
      </x:c>
      <x:c r="Q203" s="51" t="n">
        <x:v>46298</x:v>
      </x:c>
      <x:c r="R203" t="str">
        <x:v>2026-05-12 적용</x:v>
      </x:c>
      <x:c r="S203" t="str">
        <x:v>Saklı Kubbe</x:v>
      </x:c>
      <x:c r="T203" t="str">
        <x:v>https://www.saklikubbe.com/menu/</x:v>
      </x:c>
      <x:c r="U203" s="23" t="str">
        <x:v>공식 메뉴의 Demleme Bardak Çayı 35 TRY.</x:v>
      </x:c>
    </x:row>
    <x:row r="204" ht="36" customHeight="1">
      <x:c r="A204" t="str">
        <x:v>IST-AL-001</x:v>
      </x:c>
      <x:c r="B204" t="str">
        <x:v>튀르키예</x:v>
      </x:c>
      <x:c r="C204" t="str">
        <x:v>이스탄불</x:v>
      </x:c>
      <x:c r="D204" t="str">
        <x:v>외식</x:v>
      </x:c>
      <x:c r="E204" t="str">
        <x:v>주류</x:v>
      </x:c>
      <x:c r="F204" t="str">
        <x:v>Lokanta Lobi Mercan 라키</x:v>
      </x:c>
      <x:c r="G204" t="str">
        <x:v>Lokanta Lobi Mercan Rakı</x:v>
      </x:c>
      <x:c r="H204" s="55" t="n">
        <x:v>550</x:v>
      </x:c>
      <x:c r="I204" s="55" t="n">
        <x:v>550</x:v>
      </x:c>
      <x:c r="J204" t="str">
        <x:v>TRY</x:v>
      </x:c>
      <x:c r="K204" t="str">
        <x:v>1잔 6cl</x:v>
      </x:c>
      <x:c r="L204" t="str">
        <x:v>메뉴형</x:v>
      </x:c>
      <x:c r="M204" t="str">
        <x:v>성인</x:v>
      </x:c>
      <x:c r="N204" t="str">
        <x:v>A 공식</x:v>
      </x:c>
      <x:c r="O204" t="str">
        <x:v>예</x:v>
      </x:c>
      <x:c r="P204" t="str">
        <x:v>확정 1차</x:v>
      </x:c>
      <x:c r="Q204" s="51" t="n">
        <x:v>46298</x:v>
      </x:c>
      <x:c r="R204" t="str">
        <x:v>2026-10-03 확인</x:v>
      </x:c>
      <x:c r="S204" t="str">
        <x:v>Lokanta Lobi</x:v>
      </x:c>
      <x:c r="T204" t="str">
        <x:v>https://lokantalobi.com/menu/</x:v>
      </x:c>
      <x:c r="U204" s="23" t="str">
        <x:v>공식 메뉴의 Rakı bölümünde bardak 6cl Mercan 550 TRY.</x:v>
      </x:c>
    </x:row>
    <x:row r="205" ht="36" customHeight="1">
      <x:c r="A205" t="str">
        <x:v>IST-AL-002</x:v>
      </x:c>
      <x:c r="B205" t="str">
        <x:v>튀르키예</x:v>
      </x:c>
      <x:c r="C205" t="str">
        <x:v>이스탄불</x:v>
      </x:c>
      <x:c r="D205" t="str">
        <x:v>외식</x:v>
      </x:c>
      <x:c r="E205" t="str">
        <x:v>주류</x:v>
      </x:c>
      <x:c r="F205" t="str">
        <x:v>Lokanta Lobi Efes 생맥주</x:v>
      </x:c>
      <x:c r="G205" t="str">
        <x:v>Lokanta Lobi Efes Draft Beer</x:v>
      </x:c>
      <x:c r="H205" s="55" t="n">
        <x:v>300</x:v>
      </x:c>
      <x:c r="I205" s="55" t="n">
        <x:v>300</x:v>
      </x:c>
      <x:c r="J205" t="str">
        <x:v>TRY</x:v>
      </x:c>
      <x:c r="K205" t="str">
        <x:v>1잔 33cl</x:v>
      </x:c>
      <x:c r="L205" t="str">
        <x:v>메뉴형</x:v>
      </x:c>
      <x:c r="M205" t="str">
        <x:v>성인</x:v>
      </x:c>
      <x:c r="N205" t="str">
        <x:v>A 공식</x:v>
      </x:c>
      <x:c r="O205" t="str">
        <x:v>예</x:v>
      </x:c>
      <x:c r="P205" t="str">
        <x:v>확정 1차</x:v>
      </x:c>
      <x:c r="Q205" s="51" t="n">
        <x:v>46298</x:v>
      </x:c>
      <x:c r="R205" t="str">
        <x:v>2026-10-03 확인</x:v>
      </x:c>
      <x:c r="S205" t="str">
        <x:v>Lokanta Lobi</x:v>
      </x:c>
      <x:c r="T205" t="str">
        <x:v>https://lokantalobi.com/menu/</x:v>
      </x:c>
      <x:c r="U205" s="23" t="str">
        <x:v>공식 메뉴의 fıçı Efes 33cl 300 TRY.</x:v>
      </x:c>
    </x:row>
    <x:row r="206" ht="36" customHeight="1">
      <x:c r="A206" t="str">
        <x:v>IST-AL-003</x:v>
      </x:c>
      <x:c r="B206" t="str">
        <x:v>튀르키예</x:v>
      </x:c>
      <x:c r="C206" t="str">
        <x:v>이스탄불</x:v>
      </x:c>
      <x:c r="D206" t="str">
        <x:v>외식</x:v>
      </x:c>
      <x:c r="E206" t="str">
        <x:v>주류</x:v>
      </x:c>
      <x:c r="F206" t="str">
        <x:v>Lokanta Lobi Efes 무글루텐 맥주</x:v>
      </x:c>
      <x:c r="G206" t="str">
        <x:v>Lokanta Lobi Efes Gluten-Free Beer</x:v>
      </x:c>
      <x:c r="H206" s="55" t="n">
        <x:v>450</x:v>
      </x:c>
      <x:c r="I206" s="55" t="n">
        <x:v>450</x:v>
      </x:c>
      <x:c r="J206" t="str">
        <x:v>TRY</x:v>
      </x:c>
      <x:c r="K206" t="str">
        <x:v>1병 50cl</x:v>
      </x:c>
      <x:c r="L206" t="str">
        <x:v>메뉴형</x:v>
      </x:c>
      <x:c r="M206" t="str">
        <x:v>성인</x:v>
      </x:c>
      <x:c r="N206" t="str">
        <x:v>A 공식</x:v>
      </x:c>
      <x:c r="O206" t="str">
        <x:v>예</x:v>
      </x:c>
      <x:c r="P206" t="str">
        <x:v>확정 1차</x:v>
      </x:c>
      <x:c r="Q206" s="51" t="n">
        <x:v>46298</x:v>
      </x:c>
      <x:c r="R206" t="str">
        <x:v>2026-10-03 확인</x:v>
      </x:c>
      <x:c r="S206" t="str">
        <x:v>Lokanta Lobi</x:v>
      </x:c>
      <x:c r="T206" t="str">
        <x:v>https://lokantalobi.com/menu/</x:v>
      </x:c>
      <x:c r="U206" s="23" t="str">
        <x:v>공식 메뉴의 Efes Glutensiz 50cl 450 TRY.</x:v>
      </x:c>
    </x:row>
    <x:row r="207" ht="36" customHeight="1">
      <x:c r="A207" t="str">
        <x:v>IST-SV-001</x:v>
      </x:c>
      <x:c r="B207" t="str">
        <x:v>튀르키예</x:v>
      </x:c>
      <x:c r="C207" t="str">
        <x:v>이스탄불</x:v>
      </x:c>
      <x:c r="D207" t="str">
        <x:v>기념품</x:v>
      </x:c>
      <x:c r="E207" t="str">
        <x:v>식품</x:v>
      </x:c>
      <x:c r="F207" t="str">
        <x:v>Karaköy Güllüoğlu Galata Akşamı 바클라바 500g</x:v>
      </x:c>
      <x:c r="G207" t="str">
        <x:v>Karaköy Güllüoğlu Galata Akşamı Baklava, 500 g</x:v>
      </x:c>
      <x:c r="H207" s="55" t="n">
        <x:v>1170</x:v>
      </x:c>
      <x:c r="I207" s="55" t="n">
        <x:v>1170</x:v>
      </x:c>
      <x:c r="J207" t="str">
        <x:v>TRY</x:v>
      </x:c>
      <x:c r="K207" t="str">
        <x:v>1상자 500g</x:v>
      </x:c>
      <x:c r="L207" t="str">
        <x:v>고정형</x:v>
      </x:c>
      <x:c r="M207" t="str">
        <x:v>일반</x:v>
      </x:c>
      <x:c r="N207" t="str">
        <x:v>A 공식</x:v>
      </x:c>
      <x:c r="O207" t="str">
        <x:v>예</x:v>
      </x:c>
      <x:c r="P207" t="str">
        <x:v>확정 1차</x:v>
      </x:c>
      <x:c r="Q207" s="51" t="n">
        <x:v>46298</x:v>
      </x:c>
      <x:c r="R207" t="str">
        <x:v>2026-10-03 확인</x:v>
      </x:c>
      <x:c r="S207" t="str">
        <x:v>Karaköy Güllüoğlu</x:v>
      </x:c>
      <x:c r="T207" t="str">
        <x:v>https://www.karakoygulluoglu.com/kent-miras%C4%B1-kutular-galata-ak%C5%9Fam%C4%B1-500-gr.-baklava</x:v>
      </x:c>
      <x:c r="U207" s="23" t="str">
        <x:v>공식 상품 상세에 1,170 TRY(KDV 포함).</x:v>
      </x:c>
    </x:row>
    <x:row r="208" ht="36" customHeight="1">
      <x:c r="A208" t="str">
        <x:v>IST-SV-002</x:v>
      </x:c>
      <x:c r="B208" t="str">
        <x:v>튀르키예</x:v>
      </x:c>
      <x:c r="C208" t="str">
        <x:v>이스탄불</x:v>
      </x:c>
      <x:c r="D208" t="str">
        <x:v>기념품</x:v>
      </x:c>
      <x:c r="E208" t="str">
        <x:v>식품</x:v>
      </x:c>
      <x:c r="F208" t="str">
        <x:v>Kurukahveci Mehmet Efendi Türk Kahvesi 5×100g</x:v>
      </x:c>
      <x:c r="G208" t="str">
        <x:v>Kurukahveci Mehmet Efendi Turkish Coffee, 5×100 g</x:v>
      </x:c>
      <x:c r="H208" s="55" t="n">
        <x:v>465</x:v>
      </x:c>
      <x:c r="I208" s="55" t="n">
        <x:v>465</x:v>
      </x:c>
      <x:c r="J208" t="str">
        <x:v>TRY</x:v>
      </x:c>
      <x:c r="K208" t="str">
        <x:v>1상자 500g</x:v>
      </x:c>
      <x:c r="L208" t="str">
        <x:v>고정형</x:v>
      </x:c>
      <x:c r="M208" t="str">
        <x:v>일반</x:v>
      </x:c>
      <x:c r="N208" t="str">
        <x:v>A 공식</x:v>
      </x:c>
      <x:c r="O208" t="str">
        <x:v>예</x:v>
      </x:c>
      <x:c r="P208" t="str">
        <x:v>확정 1차</x:v>
      </x:c>
      <x:c r="Q208" s="51" t="n">
        <x:v>46298</x:v>
      </x:c>
      <x:c r="R208" t="str">
        <x:v>2026-10-03 확인</x:v>
      </x:c>
      <x:c r="S208" t="str">
        <x:v>Kurukahveci Mehmet Efendi</x:v>
      </x:c>
      <x:c r="T208" t="str">
        <x:v>https://online.mehmetefendi.com/turk-kahvesi-5x100g</x:v>
      </x:c>
      <x:c r="U208" s="23" t="str">
        <x:v>공식 상품 상세에 465 TRY(KDV 포함).</x:v>
      </x:c>
    </x:row>
    <x:row r="209" ht="36" customHeight="1">
      <x:c r="A209" t="str">
        <x:v>IST-SV-003</x:v>
      </x:c>
      <x:c r="B209" t="str">
        <x:v>튀르키예</x:v>
      </x:c>
      <x:c r="C209" t="str">
        <x:v>이스탄불</x:v>
      </x:c>
      <x:c r="D209" t="str">
        <x:v>기념품</x:v>
      </x:c>
      <x:c r="E209" t="str">
        <x:v>잡화</x:v>
      </x:c>
      <x:c r="F209" t="str">
        <x:v>Kurukahveci Mehmet Efendi 레트로 자석 Kahve İçen Yorulmaz</x:v>
      </x:c>
      <x:c r="G209" t="str">
        <x:v>Kurukahveci Mehmet Efendi Retro Magnet, Kahve İçen Yorulmaz</x:v>
      </x:c>
      <x:c r="H209" s="55" t="n">
        <x:v>55</x:v>
      </x:c>
      <x:c r="I209" s="55" t="n">
        <x:v>55</x:v>
      </x:c>
      <x:c r="J209" t="str">
        <x:v>TRY</x:v>
      </x:c>
      <x:c r="K209" t="str">
        <x:v>1개</x:v>
      </x:c>
      <x:c r="L209" t="str">
        <x:v>고정형</x:v>
      </x:c>
      <x:c r="M209" t="str">
        <x:v>일반</x:v>
      </x:c>
      <x:c r="N209" t="str">
        <x:v>A 공식</x:v>
      </x:c>
      <x:c r="O209" t="str">
        <x:v>예</x:v>
      </x:c>
      <x:c r="P209" t="str">
        <x:v>확정 1차</x:v>
      </x:c>
      <x:c r="Q209" s="51" t="n">
        <x:v>46298</x:v>
      </x:c>
      <x:c r="R209" t="str">
        <x:v>2026-10-03 확인</x:v>
      </x:c>
      <x:c r="S209" t="str">
        <x:v>Kurukahveci Mehmet Efendi</x:v>
      </x:c>
      <x:c r="T209" t="str">
        <x:v>https://online.mehmetefendi.com/retro-koleksiyon-magnet-kahve-icen-yorulmaz</x:v>
      </x:c>
      <x:c r="U209" s="23" t="str">
        <x:v>공식 상품 상세에 55 TRY(KDV 포함), 크기 8.5×5.5cm.</x:v>
      </x:c>
    </x:row>
    <x:row r="210" ht="36" customHeight="1">
      <x:c r="A210" t="str">
        <x:v>IST-AT-001</x:v>
      </x:c>
      <x:c r="B210" t="str">
        <x:v>튀르키예</x:v>
      </x:c>
      <x:c r="C210" t="str">
        <x:v>이스탄불</x:v>
      </x:c>
      <x:c r="D210" t="str">
        <x:v>관광</x:v>
      </x:c>
      <x:c r="E210" t="str">
        <x:v>궁전</x:v>
      </x:c>
      <x:c r="F210" t="str">
        <x:v>Topkapı Sarayı 복합 입장권 외국인 성인</x:v>
      </x:c>
      <x:c r="G210" t="str">
        <x:v>Topkapi Palace Combined Admission, Foreign Adult</x:v>
      </x:c>
      <x:c r="H210" s="55" t="n">
        <x:v>2750</x:v>
      </x:c>
      <x:c r="I210" s="55" t="n">
        <x:v>2750</x:v>
      </x:c>
      <x:c r="J210" t="str">
        <x:v>TRY</x:v>
      </x:c>
      <x:c r="K210" t="str">
        <x:v>외국인 1인</x:v>
      </x:c>
      <x:c r="L210" t="str">
        <x:v>고정형</x:v>
      </x:c>
      <x:c r="M210" t="str">
        <x:v>외국인 성인</x:v>
      </x:c>
      <x:c r="N210" t="str">
        <x:v>B 공공</x:v>
      </x:c>
      <x:c r="O210" t="str">
        <x:v>예</x:v>
      </x:c>
      <x:c r="P210" t="str">
        <x:v>확정 1차</x:v>
      </x:c>
      <x:c r="Q210" s="51" t="n">
        <x:v>46298</x:v>
      </x:c>
      <x:c r="R210" t="str">
        <x:v>2026-10-03 확인</x:v>
      </x:c>
      <x:c r="S210" t="str">
        <x:v>Millî Saraylar</x:v>
      </x:c>
      <x:c r="T210" t="str">
        <x:v>https://www.millisaraylar.gov.tr/Lokasyon/2/Topkapi-Sarayi?culture=en</x:v>
      </x:c>
      <x:c r="U210" s="23" t="str">
        <x:v>외국인 복합 입장권(Topkapı + Hagia Irene + Harem) 2,750 TRY.</x:v>
      </x:c>
    </x:row>
    <x:row r="211" ht="36" customHeight="1">
      <x:c r="A211" t="str">
        <x:v>IST-AT-002</x:v>
      </x:c>
      <x:c r="B211" t="str">
        <x:v>튀르키예</x:v>
      </x:c>
      <x:c r="C211" t="str">
        <x:v>이스탄불</x:v>
      </x:c>
      <x:c r="D211" t="str">
        <x:v>관광</x:v>
      </x:c>
      <x:c r="E211" t="str">
        <x:v>궁전</x:v>
      </x:c>
      <x:c r="F211" t="str">
        <x:v>Dolmabahçe Sarayı 통합 입장권 외국인 성인</x:v>
      </x:c>
      <x:c r="G211" t="str">
        <x:v>Dolmabahce Palace Combined Admission, Foreign Adult</x:v>
      </x:c>
      <x:c r="H211" s="55" t="n">
        <x:v>2000</x:v>
      </x:c>
      <x:c r="I211" s="55" t="n">
        <x:v>2000</x:v>
      </x:c>
      <x:c r="J211" t="str">
        <x:v>TRY</x:v>
      </x:c>
      <x:c r="K211" t="str">
        <x:v>외국인 1인</x:v>
      </x:c>
      <x:c r="L211" t="str">
        <x:v>고정형</x:v>
      </x:c>
      <x:c r="M211" t="str">
        <x:v>외국인 성인</x:v>
      </x:c>
      <x:c r="N211" t="str">
        <x:v>B 공공</x:v>
      </x:c>
      <x:c r="O211" t="str">
        <x:v>예</x:v>
      </x:c>
      <x:c r="P211" t="str">
        <x:v>확정 1차</x:v>
      </x:c>
      <x:c r="Q211" s="51" t="n">
        <x:v>46298</x:v>
      </x:c>
      <x:c r="R211" t="str">
        <x:v>2026-10-03 확인</x:v>
      </x:c>
      <x:c r="S211" t="str">
        <x:v>Millî Saraylar</x:v>
      </x:c>
      <x:c r="T211" t="str">
        <x:v>https://millisaraylar.gov.tr/Lokasyon/3/Dolmabahce-Sarayi</x:v>
      </x:c>
      <x:c r="U211" s="23" t="str">
        <x:v>외국인 Selamlık·Harem·Resim Müzesi 통합권 2,000 TRY.</x:v>
      </x:c>
    </x:row>
    <x:row r="212" ht="36" customHeight="1">
      <x:c r="A212" t="str">
        <x:v>IST-AT-003</x:v>
      </x:c>
      <x:c r="B212" t="str">
        <x:v>튀르키예</x:v>
      </x:c>
      <x:c r="C212" t="str">
        <x:v>이스탄불</x:v>
      </x:c>
      <x:c r="D212" t="str">
        <x:v>관광</x:v>
      </x:c>
      <x:c r="E212" t="str">
        <x:v>궁전</x:v>
      </x:c>
      <x:c r="F212" t="str">
        <x:v>Beylerbeyi Sarayı 외국인 성인 입장</x:v>
      </x:c>
      <x:c r="G212" t="str">
        <x:v>Beylerbeyi Palace Admission, Foreign Adult</x:v>
      </x:c>
      <x:c r="H212" s="55" t="n">
        <x:v>800</x:v>
      </x:c>
      <x:c r="I212" s="55" t="n">
        <x:v>800</x:v>
      </x:c>
      <x:c r="J212" t="str">
        <x:v>TRY</x:v>
      </x:c>
      <x:c r="K212" t="str">
        <x:v>외국인 1인</x:v>
      </x:c>
      <x:c r="L212" t="str">
        <x:v>고정형</x:v>
      </x:c>
      <x:c r="M212" t="str">
        <x:v>외국인 성인</x:v>
      </x:c>
      <x:c r="N212" t="str">
        <x:v>B 공공</x:v>
      </x:c>
      <x:c r="O212" t="str">
        <x:v>예</x:v>
      </x:c>
      <x:c r="P212" t="str">
        <x:v>확정 1차</x:v>
      </x:c>
      <x:c r="Q212" s="51" t="n">
        <x:v>46298</x:v>
      </x:c>
      <x:c r="R212" t="str">
        <x:v>2026-10-03 확인</x:v>
      </x:c>
      <x:c r="S212" t="str">
        <x:v>Millî Saraylar</x:v>
      </x:c>
      <x:c r="T212" t="str">
        <x:v>https://millisaraylar.gov.tr/Lokasyon/4/Beylerbeyi-Sarayi</x:v>
      </x:c>
      <x:c r="U212" s="23" t="str">
        <x:v>공식 외국인 방문객 입장료 800 TRY.</x:v>
      </x:c>
    </x:row>
    <x:row r="213" ht="36" customHeight="1">
      <x:c r="A213" t="str">
        <x:v>IST-AT-004</x:v>
      </x:c>
      <x:c r="B213" t="str">
        <x:v>튀르키예</x:v>
      </x:c>
      <x:c r="C213" t="str">
        <x:v>이스탄불</x:v>
      </x:c>
      <x:c r="D213" t="str">
        <x:v>관광</x:v>
      </x:c>
      <x:c r="E213" t="str">
        <x:v>궁전</x:v>
      </x:c>
      <x:c r="F213" t="str">
        <x:v>Yıldız Sarayı 외국인 성인 입장</x:v>
      </x:c>
      <x:c r="G213" t="str">
        <x:v>Yildiz Palace Admission, Foreign Adult</x:v>
      </x:c>
      <x:c r="H213" s="55" t="n">
        <x:v>900</x:v>
      </x:c>
      <x:c r="I213" s="55" t="n">
        <x:v>900</x:v>
      </x:c>
      <x:c r="J213" t="str">
        <x:v>TRY</x:v>
      </x:c>
      <x:c r="K213" t="str">
        <x:v>외국인 1인</x:v>
      </x:c>
      <x:c r="L213" t="str">
        <x:v>고정형</x:v>
      </x:c>
      <x:c r="M213" t="str">
        <x:v>외국인 성인</x:v>
      </x:c>
      <x:c r="N213" t="str">
        <x:v>B 공공</x:v>
      </x:c>
      <x:c r="O213" t="str">
        <x:v>예</x:v>
      </x:c>
      <x:c r="P213" t="str">
        <x:v>확정 1차</x:v>
      </x:c>
      <x:c r="Q213" s="51" t="n">
        <x:v>46298</x:v>
      </x:c>
      <x:c r="R213" t="str">
        <x:v>2026-10-03 확인</x:v>
      </x:c>
      <x:c r="S213" t="str">
        <x:v>Millî Saraylar</x:v>
      </x:c>
      <x:c r="T213" t="str">
        <x:v>https://www.millisaraylar.gov.tr/Lokasyon/5/Yildiz-Sarayi?culture=en</x:v>
      </x:c>
      <x:c r="U213" s="23" t="str">
        <x:v>공식 외국인 방문객 입장료 900 TRY.</x:v>
      </x:c>
    </x:row>
    <x:row r="214" ht="36" customHeight="1">
      <x:c r="A214" t="str">
        <x:v>IST-AT-005</x:v>
      </x:c>
      <x:c r="B214" t="str">
        <x:v>튀르키예</x:v>
      </x:c>
      <x:c r="C214" t="str">
        <x:v>이스탄불</x:v>
      </x:c>
      <x:c r="D214" t="str">
        <x:v>관광</x:v>
      </x:c>
      <x:c r="E214" t="str">
        <x:v>랜드마크</x:v>
      </x:c>
      <x:c r="F214" t="str">
        <x:v>Galata Kulesi 외국인 입장권</x:v>
      </x:c>
      <x:c r="G214" t="str">
        <x:v>Galata Tower Museum Admission</x:v>
      </x:c>
      <x:c r="H214" s="55" t="n">
        <x:v>30</x:v>
      </x:c>
      <x:c r="I214" s="55" t="n">
        <x:v>30</x:v>
      </x:c>
      <x:c r="J214" t="str">
        <x:v>EUR</x:v>
      </x:c>
      <x:c r="K214" t="str">
        <x:v>외국인 1인</x:v>
      </x:c>
      <x:c r="L214" t="str">
        <x:v>고정형</x:v>
      </x:c>
      <x:c r="M214" t="str">
        <x:v>외국인 성인</x:v>
      </x:c>
      <x:c r="N214" t="str">
        <x:v>B 공공</x:v>
      </x:c>
      <x:c r="O214" t="str">
        <x:v>예</x:v>
      </x:c>
      <x:c r="P214" t="str">
        <x:v>확정 1차</x:v>
      </x:c>
      <x:c r="Q214" s="51" t="n">
        <x:v>46298</x:v>
      </x:c>
      <x:c r="R214" t="str">
        <x:v>2026-10-03 확인</x:v>
      </x:c>
      <x:c r="S214" t="str">
        <x:v>Turkish Museums / Ministry of Culture and Tourism</x:v>
      </x:c>
      <x:c r="T214" t="str">
        <x:v>https://turkishmuseums.kprod.kultur.gov.tr/museum/detail/22341-istanbul-galata-tower-museum/22341/4</x:v>
      </x:c>
      <x:c r="U214" s="23" t="str">
        <x:v>공식 요금표를 재확인: 외국인 성인 30 EUR, 튀르키예 시민 200 TRY. 외국인 성인 요금으로 기록하며 환산하지 않음.</x:v>
      </x:c>
    </x:row>
    <x:row r="215" ht="36" customHeight="1">
      <x:c r="A215" t="str">
        <x:v>IST-AT-006</x:v>
      </x:c>
      <x:c r="B215" t="str">
        <x:v>튀르키예</x:v>
      </x:c>
      <x:c r="C215" t="str">
        <x:v>이스탄불</x:v>
      </x:c>
      <x:c r="D215" t="str">
        <x:v>관광</x:v>
      </x:c>
      <x:c r="E215" t="str">
        <x:v>랜드마크</x:v>
      </x:c>
      <x:c r="F215" t="str">
        <x:v>Kız Kulesi 외국인 입장권</x:v>
      </x:c>
      <x:c r="G215" t="str">
        <x:v>Maiden's Tower Admission</x:v>
      </x:c>
      <x:c r="H215" s="55" t="n">
        <x:v>27</x:v>
      </x:c>
      <x:c r="I215" s="55" t="n">
        <x:v>27</x:v>
      </x:c>
      <x:c r="J215" t="str">
        <x:v>EUR</x:v>
      </x:c>
      <x:c r="K215" t="str">
        <x:v>외국인 1인</x:v>
      </x:c>
      <x:c r="L215" t="str">
        <x:v>고정형</x:v>
      </x:c>
      <x:c r="M215" t="str">
        <x:v>외국인 성인</x:v>
      </x:c>
      <x:c r="N215" t="str">
        <x:v>B 공공</x:v>
      </x:c>
      <x:c r="O215" t="str">
        <x:v>예</x:v>
      </x:c>
      <x:c r="P215" t="str">
        <x:v>확정 1차</x:v>
      </x:c>
      <x:c r="Q215" s="51" t="n">
        <x:v>46298</x:v>
      </x:c>
      <x:c r="R215" t="str">
        <x:v>2026-10-03 확인</x:v>
      </x:c>
      <x:c r="S215" t="str">
        <x:v>T.C. Kültür ve Turizm Bakanlığı / Müze.gov.tr</x:v>
      </x:c>
      <x:c r="T215" t="str">
        <x:v>https://muze.gov.tr/urun-ekle?catalogNo=WEB-CUM01-87-009</x:v>
      </x:c>
      <x:c r="U215" s="23" t="str">
        <x:v>문화관광부 공식 전자티켓 상품 가격 27 EUR.</x:v>
      </x:c>
    </x:row>
    <x:row r="216" ht="36" customHeight="1">
      <x:c r="A216" t="str">
        <x:v>IST-AT-007</x:v>
      </x:c>
      <x:c r="B216" t="str">
        <x:v>튀르키예</x:v>
      </x:c>
      <x:c r="C216" t="str">
        <x:v>이스탄불</x:v>
      </x:c>
      <x:c r="D216" t="str">
        <x:v>관광</x:v>
      </x:c>
      <x:c r="E216" t="str">
        <x:v>박물관</x:v>
      </x:c>
      <x:c r="F216" t="str">
        <x:v>İstanbul Arkeoloji Müzeleri 외국인 입장권</x:v>
      </x:c>
      <x:c r="G216" t="str">
        <x:v>Istanbul Archaeological Museums Admission</x:v>
      </x:c>
      <x:c r="H216" s="55" t="n">
        <x:v>15</x:v>
      </x:c>
      <x:c r="I216" s="55" t="n">
        <x:v>15</x:v>
      </x:c>
      <x:c r="J216" t="str">
        <x:v>EUR</x:v>
      </x:c>
      <x:c r="K216" t="str">
        <x:v>외국인 1인</x:v>
      </x:c>
      <x:c r="L216" t="str">
        <x:v>고정형</x:v>
      </x:c>
      <x:c r="M216" t="str">
        <x:v>외국인 성인</x:v>
      </x:c>
      <x:c r="N216" t="str">
        <x:v>B 공공</x:v>
      </x:c>
      <x:c r="O216" t="str">
        <x:v>예</x:v>
      </x:c>
      <x:c r="P216" t="str">
        <x:v>확정 1차</x:v>
      </x:c>
      <x:c r="Q216" s="51" t="n">
        <x:v>46298</x:v>
      </x:c>
      <x:c r="R216" t="str">
        <x:v>2026-10-03 확인</x:v>
      </x:c>
      <x:c r="S216" t="str">
        <x:v>T.C. Kültür ve Turizm Bakanlığı / Müze.gov.tr</x:v>
      </x:c>
      <x:c r="T216" t="str">
        <x:v>https://muze.gov.tr/urun-ekle?catalogNo=WEB-CUM01-87-009</x:v>
      </x:c>
      <x:c r="U216" s="23" t="str">
        <x:v>문화관광부 공식 전자티켓 상품 가격 15 EUR.</x:v>
      </x:c>
    </x:row>
    <x:row r="217" ht="36" customHeight="1">
      <x:c r="A217" t="str">
        <x:v>IST-AT-008</x:v>
      </x:c>
      <x:c r="B217" t="str">
        <x:v>튀르키예</x:v>
      </x:c>
      <x:c r="C217" t="str">
        <x:v>이스탄불</x:v>
      </x:c>
      <x:c r="D217" t="str">
        <x:v>관광</x:v>
      </x:c>
      <x:c r="E217" t="str">
        <x:v>박물관</x:v>
      </x:c>
      <x:c r="F217" t="str">
        <x:v>İstanbul Modern 일반 방문객 입장권</x:v>
      </x:c>
      <x:c r="G217" t="str">
        <x:v>Istanbul Modern Regular Admission</x:v>
      </x:c>
      <x:c r="H217" s="55" t="n">
        <x:v>1000</x:v>
      </x:c>
      <x:c r="I217" s="55" t="n">
        <x:v>1000</x:v>
      </x:c>
      <x:c r="J217" t="str">
        <x:v>TRY</x:v>
      </x:c>
      <x:c r="K217" t="str">
        <x:v>일반 1인</x:v>
      </x:c>
      <x:c r="L217" t="str">
        <x:v>고정형</x:v>
      </x:c>
      <x:c r="M217" t="str">
        <x:v>비거주자 성인</x:v>
      </x:c>
      <x:c r="N217" t="str">
        <x:v>A 공식</x:v>
      </x:c>
      <x:c r="O217" t="str">
        <x:v>예</x:v>
      </x:c>
      <x:c r="P217" t="str">
        <x:v>확정 1차</x:v>
      </x:c>
      <x:c r="Q217" s="51" t="n">
        <x:v>46298</x:v>
      </x:c>
      <x:c r="R217" t="str">
        <x:v>2026-10-03 확인</x:v>
      </x:c>
      <x:c r="S217" t="str">
        <x:v>İstanbul Modern</x:v>
      </x:c>
      <x:c r="T217" t="str">
        <x:v>https://www.istanbulmodern.org/en/visit/museum</x:v>
      </x:c>
      <x:c r="U217" s="23" t="str">
        <x:v>미술관 공식 요금표 일반 입장 1,000 TRY, Türkiye 거주자 일반권은 별도 600 TRY.</x:v>
      </x:c>
    </x:row>
    <x:row r="218" ht="36" customHeight="1">
      <x:c r="A218" t="str">
        <x:v>IST-AT-009</x:v>
      </x:c>
      <x:c r="B218" t="str">
        <x:v>튀르키예</x:v>
      </x:c>
      <x:c r="C218" t="str">
        <x:v>이스탄불</x:v>
      </x:c>
      <x:c r="D218" t="str">
        <x:v>관광</x:v>
      </x:c>
      <x:c r="E218" t="str">
        <x:v>궁전</x:v>
      </x:c>
      <x:c r="F218" t="str">
        <x:v>Topkapı Sarayı 0–6세 무료 입장</x:v>
      </x:c>
      <x:c r="G218" t="str">
        <x:v>Topkapi Palace Free Admission, Ages 0–6</x:v>
      </x:c>
      <x:c r="H218" s="55" t="n">
        <x:v>0</x:v>
      </x:c>
      <x:c r="I218" s="55" t="n">
        <x:v>0</x:v>
      </x:c>
      <x:c r="J218" t="str">
        <x:v>TRY</x:v>
      </x:c>
      <x:c r="K218" t="str">
        <x:v>아동 1인</x:v>
      </x:c>
      <x:c r="L218" t="str">
        <x:v>일정/대상형</x:v>
      </x:c>
      <x:c r="M218" t="str">
        <x:v>외국인 만 0~6세</x:v>
      </x:c>
      <x:c r="N218" t="str">
        <x:v>B 공공</x:v>
      </x:c>
      <x:c r="O218" t="str">
        <x:v>예</x:v>
      </x:c>
      <x:c r="P218" t="str">
        <x:v>확정 1차</x:v>
      </x:c>
      <x:c r="Q218" s="51" t="n">
        <x:v>46298</x:v>
      </x:c>
      <x:c r="R218" t="str">
        <x:v>2026-10-03 확인</x:v>
      </x:c>
      <x:c r="S218" t="str">
        <x:v>Millî Saraylar</x:v>
      </x:c>
      <x:c r="T218" t="str">
        <x:v>https://www.millisaraylar.gov.tr/Lokasyon/2/Topkapi-Sarayi?culture=en</x:v>
      </x:c>
      <x:c r="U218" s="23" t="str">
        <x:v>공식 안내에서 국내·외 방문객 0–6세 무료 명시.</x:v>
      </x:c>
    </x:row>
    <x:row r="219" ht="36" customHeight="1">
      <x:c r="A219" t="str">
        <x:v>IST-AT-010</x:v>
      </x:c>
      <x:c r="B219" t="str">
        <x:v>튀르키예</x:v>
      </x:c>
      <x:c r="C219" t="str">
        <x:v>이스탄불</x:v>
      </x:c>
      <x:c r="D219" t="str">
        <x:v>관광</x:v>
      </x:c>
      <x:c r="E219" t="str">
        <x:v>궁전</x:v>
      </x:c>
      <x:c r="F219" t="str">
        <x:v>Dolmabahçe Sarayı 0–6세 무료 입장</x:v>
      </x:c>
      <x:c r="G219" t="str">
        <x:v>Dolmabahce Palace Free Admission, Ages 0–6</x:v>
      </x:c>
      <x:c r="H219" s="55" t="n">
        <x:v>0</x:v>
      </x:c>
      <x:c r="I219" s="55" t="n">
        <x:v>0</x:v>
      </x:c>
      <x:c r="J219" t="str">
        <x:v>TRY</x:v>
      </x:c>
      <x:c r="K219" t="str">
        <x:v>아동 1인</x:v>
      </x:c>
      <x:c r="L219" t="str">
        <x:v>일정/대상형</x:v>
      </x:c>
      <x:c r="M219" t="str">
        <x:v>외국인 만 0~6세</x:v>
      </x:c>
      <x:c r="N219" t="str">
        <x:v>B 공공</x:v>
      </x:c>
      <x:c r="O219" t="str">
        <x:v>예</x:v>
      </x:c>
      <x:c r="P219" t="str">
        <x:v>확정 1차</x:v>
      </x:c>
      <x:c r="Q219" s="51" t="n">
        <x:v>46298</x:v>
      </x:c>
      <x:c r="R219" t="str">
        <x:v>2026-10-03 확인</x:v>
      </x:c>
      <x:c r="S219" t="str">
        <x:v>Millî Saraylar</x:v>
      </x:c>
      <x:c r="T219" t="str">
        <x:v>https://millisaraylar.gov.tr/Lokasyon/3/Dolmabahce-Sarayi</x:v>
      </x:c>
      <x:c r="U219" s="23" t="str">
        <x:v>공식 안내에서 국내·외 방문객 0–6세 무료 명시.</x:v>
      </x:c>
    </x:row>
    <x:row r="220" ht="36" customHeight="1">
      <x:c r="A220" t="str">
        <x:v>IST-AT-011</x:v>
      </x:c>
      <x:c r="B220" t="str">
        <x:v>튀르키예</x:v>
      </x:c>
      <x:c r="C220" t="str">
        <x:v>이스탄불</x:v>
      </x:c>
      <x:c r="D220" t="str">
        <x:v>관광</x:v>
      </x:c>
      <x:c r="E220" t="str">
        <x:v>궁전</x:v>
      </x:c>
      <x:c r="F220" t="str">
        <x:v>Beylerbeyi Sarayı 0–6세 무료 입장</x:v>
      </x:c>
      <x:c r="G220" t="str">
        <x:v>Beylerbeyi Palace Free Admission, Ages 0–6</x:v>
      </x:c>
      <x:c r="H220" s="55" t="n">
        <x:v>0</x:v>
      </x:c>
      <x:c r="I220" s="55" t="n">
        <x:v>0</x:v>
      </x:c>
      <x:c r="J220" t="str">
        <x:v>TRY</x:v>
      </x:c>
      <x:c r="K220" t="str">
        <x:v>아동 1인</x:v>
      </x:c>
      <x:c r="L220" t="str">
        <x:v>일정/대상형</x:v>
      </x:c>
      <x:c r="M220" t="str">
        <x:v>외국인 만 0~6세</x:v>
      </x:c>
      <x:c r="N220" t="str">
        <x:v>B 공공</x:v>
      </x:c>
      <x:c r="O220" t="str">
        <x:v>예</x:v>
      </x:c>
      <x:c r="P220" t="str">
        <x:v>확정 1차</x:v>
      </x:c>
      <x:c r="Q220" s="51" t="n">
        <x:v>46298</x:v>
      </x:c>
      <x:c r="R220" t="str">
        <x:v>2026-10-03 확인</x:v>
      </x:c>
      <x:c r="S220" t="str">
        <x:v>Millî Saraylar</x:v>
      </x:c>
      <x:c r="T220" t="str">
        <x:v>https://millisaraylar.gov.tr/Lokasyon/4/Beylerbeyi-Sarayi</x:v>
      </x:c>
      <x:c r="U220" s="23" t="str">
        <x:v>공식 안내에서 국내·외 방문객 0–6세 무료 명시.</x:v>
      </x:c>
    </x:row>
    <x:row r="221" ht="36" customHeight="1">
      <x:c r="A221" t="str">
        <x:v>IST-AT-012</x:v>
      </x:c>
      <x:c r="B221" t="str">
        <x:v>튀르키예</x:v>
      </x:c>
      <x:c r="C221" t="str">
        <x:v>이스탄불</x:v>
      </x:c>
      <x:c r="D221" t="str">
        <x:v>관광</x:v>
      </x:c>
      <x:c r="E221" t="str">
        <x:v>궁전</x:v>
      </x:c>
      <x:c r="F221" t="str">
        <x:v>Yıldız Sarayı 0–6세 무료 입장</x:v>
      </x:c>
      <x:c r="G221" t="str">
        <x:v>Yildiz Palace Free Admission, Ages 0–6</x:v>
      </x:c>
      <x:c r="H221" s="55" t="n">
        <x:v>0</x:v>
      </x:c>
      <x:c r="I221" s="55" t="n">
        <x:v>0</x:v>
      </x:c>
      <x:c r="J221" t="str">
        <x:v>TRY</x:v>
      </x:c>
      <x:c r="K221" t="str">
        <x:v>아동 1인</x:v>
      </x:c>
      <x:c r="L221" t="str">
        <x:v>일정/대상형</x:v>
      </x:c>
      <x:c r="M221" t="str">
        <x:v>외국인 만 0~6세</x:v>
      </x:c>
      <x:c r="N221" t="str">
        <x:v>B 공공</x:v>
      </x:c>
      <x:c r="O221" t="str">
        <x:v>예</x:v>
      </x:c>
      <x:c r="P221" t="str">
        <x:v>확정 1차</x:v>
      </x:c>
      <x:c r="Q221" s="51" t="n">
        <x:v>46298</x:v>
      </x:c>
      <x:c r="R221" t="str">
        <x:v>2026-10-03 확인</x:v>
      </x:c>
      <x:c r="S221" t="str">
        <x:v>Millî Saraylar</x:v>
      </x:c>
      <x:c r="T221" t="str">
        <x:v>https://www.millisaraylar.gov.tr/Lokasyon/5/Yildiz-Sarayi?culture=en</x:v>
      </x:c>
      <x:c r="U221" s="23" t="str">
        <x:v>공식 안내에서 국내·외 방문객 0–6세 무료 명시.</x:v>
      </x:c>
    </x:row>
    <x:row r="222" ht="36" customHeight="1">
      <x:c r="A222" t="str">
        <x:v>IST-AT-013</x:v>
      </x:c>
      <x:c r="B222" t="str">
        <x:v>튀르키예</x:v>
      </x:c>
      <x:c r="C222" t="str">
        <x:v>이스탄불</x:v>
      </x:c>
      <x:c r="D222" t="str">
        <x:v>관광</x:v>
      </x:c>
      <x:c r="E222" t="str">
        <x:v>박물관</x:v>
      </x:c>
      <x:c r="F222" t="str">
        <x:v>İstanbul Modern 12세 미만 무료 입장</x:v>
      </x:c>
      <x:c r="G222" t="str">
        <x:v>Istanbul Modern Free Admission, Under 12</x:v>
      </x:c>
      <x:c r="H222" s="55" t="n">
        <x:v>0</x:v>
      </x:c>
      <x:c r="I222" s="55" t="n">
        <x:v>0</x:v>
      </x:c>
      <x:c r="J222" t="str">
        <x:v>TRY</x:v>
      </x:c>
      <x:c r="K222" t="str">
        <x:v>아동 1인</x:v>
      </x:c>
      <x:c r="L222" t="str">
        <x:v>일정/대상형</x:v>
      </x:c>
      <x:c r="M222" t="str">
        <x:v>만 12세 미만</x:v>
      </x:c>
      <x:c r="N222" t="str">
        <x:v>A 공식</x:v>
      </x:c>
      <x:c r="O222" t="str">
        <x:v>예</x:v>
      </x:c>
      <x:c r="P222" t="str">
        <x:v>확정 1차</x:v>
      </x:c>
      <x:c r="Q222" s="51" t="n">
        <x:v>46298</x:v>
      </x:c>
      <x:c r="R222" t="str">
        <x:v>2026-10-03 확인</x:v>
      </x:c>
      <x:c r="S222" t="str">
        <x:v>İstanbul Modern</x:v>
      </x:c>
      <x:c r="T222" t="str">
        <x:v>https://www.istanbulmodern.org/en/visit/museum</x:v>
      </x:c>
      <x:c r="U222" s="23" t="str">
        <x:v>미술관 공식 안내에서 12세 미만 무료 명시.</x:v>
      </x:c>
    </x:row>
    <x:row r="223" ht="36" customHeight="1">
      <x:c r="A223" t="str">
        <x:v>IST-AT-014</x:v>
      </x:c>
      <x:c r="B223" t="str">
        <x:v>튀르키예</x:v>
      </x:c>
      <x:c r="C223" t="str">
        <x:v>이스탄불</x:v>
      </x:c>
      <x:c r="D223" t="str">
        <x:v>관광</x:v>
      </x:c>
      <x:c r="E223" t="str">
        <x:v>지하궁전</x:v>
      </x:c>
      <x:c r="F223" t="str">
        <x:v>예레바탄 사르느즈 주간 외국인 입장권</x:v>
      </x:c>
      <x:c r="G223" t="str">
        <x:v>Basilica Cistern Daytime Admission, Foreign Visitor</x:v>
      </x:c>
      <x:c r="H223" s="55" t="n">
        <x:v>1950</x:v>
      </x:c>
      <x:c r="I223" s="55" t="n">
        <x:v>1950</x:v>
      </x:c>
      <x:c r="J223" t="str">
        <x:v>TRY</x:v>
      </x:c>
      <x:c r="K223" t="str">
        <x:v>외국인 1인</x:v>
      </x:c>
      <x:c r="L223" t="str">
        <x:v>고정형</x:v>
      </x:c>
      <x:c r="M223" t="str">
        <x:v>외국인 성인</x:v>
      </x:c>
      <x:c r="N223" t="str">
        <x:v>B 공공</x:v>
      </x:c>
      <x:c r="O223" t="str">
        <x:v>예</x:v>
      </x:c>
      <x:c r="P223" t="str">
        <x:v>확정 1차</x:v>
      </x:c>
      <x:c r="Q223" s="51" t="n">
        <x:v>46298</x:v>
      </x:c>
      <x:c r="R223" t="str">
        <x:v>2026-10-03 확인</x:v>
      </x:c>
      <x:c r="S223" t="str">
        <x:v>KÜLTÜR.İSTANBUL</x:v>
      </x:c>
      <x:c r="T223" t="str">
        <x:v>https://kultur.istanbul/yerebatan-sarnici-muzesi/</x:v>
      </x:c>
      <x:c r="U223" s="23" t="str">
        <x:v>공식 안내의 09:00–18:30 외국인 입장료 1,950 TL. 야간 요금은 별도이므로 주간 상품만 기록.</x:v>
      </x:c>
    </x:row>
    <x:row r="224" ht="36" customHeight="1">
      <x:c r="A224" t="str">
        <x:v>IST-AT-015</x:v>
      </x:c>
      <x:c r="B224" t="str">
        <x:v>튀르키예</x:v>
      </x:c>
      <x:c r="C224" t="str">
        <x:v>이스탄불</x:v>
      </x:c>
      <x:c r="D224" t="str">
        <x:v>관광</x:v>
      </x:c>
      <x:c r="E224" t="str">
        <x:v>박물관</x:v>
      </x:c>
      <x:c r="F224" t="str">
        <x:v>아야소피아 역사·체험 박물관 외국인 성인</x:v>
      </x:c>
      <x:c r="G224" t="str">
        <x:v>Hagia Sophia History and Experience Museum, Foreign Adult</x:v>
      </x:c>
      <x:c r="H224" s="55" t="n">
        <x:v>25</x:v>
      </x:c>
      <x:c r="I224" s="55" t="n">
        <x:v>25</x:v>
      </x:c>
      <x:c r="J224" t="str">
        <x:v>EUR</x:v>
      </x:c>
      <x:c r="K224" t="str">
        <x:v>외국인 1인</x:v>
      </x:c>
      <x:c r="L224" t="str">
        <x:v>고정형</x:v>
      </x:c>
      <x:c r="M224" t="str">
        <x:v>외국인 성인</x:v>
      </x:c>
      <x:c r="N224" t="str">
        <x:v>B 공공</x:v>
      </x:c>
      <x:c r="O224" t="str">
        <x:v>예</x:v>
      </x:c>
      <x:c r="P224" t="str">
        <x:v>확정 1차</x:v>
      </x:c>
      <x:c r="Q224" s="51" t="n">
        <x:v>46298</x:v>
      </x:c>
      <x:c r="R224" t="str">
        <x:v>2026-10-03 확인</x:v>
      </x:c>
      <x:c r="S224" t="str">
        <x:v>T.C. Kültür ve Turizm Bakanlığı</x:v>
      </x:c>
      <x:c r="T224" t="str">
        <x:v>https://muze.gov.tr/muze-detay?distId=MRK&amp;sectionId=YSM01</x:v>
      </x:c>
      <x:c r="U224" s="23" t="str">
        <x:v>문화관광부 공식 페이지가 외국인 입장료를 25 EUR로 표시. TRY 가격이 공시되지 않아 환산하지 않음.</x:v>
      </x:c>
    </x:row>
    <x:row r="225" ht="36" customHeight="1">
      <x:c r="A225" t="str">
        <x:v>SHA-TR-001</x:v>
      </x:c>
      <x:c r="B225" t="str">
        <x:v>중국</x:v>
      </x:c>
      <x:c r="C225" t="str">
        <x:v>상하이</x:v>
      </x:c>
      <x:c r="D225" t="str">
        <x:v>교통</x:v>
      </x:c>
      <x:c r="E225" t="str">
        <x:v>도시철도 1회 요금</x:v>
      </x:c>
      <x:c r="F225" t="str">
        <x:v>상하이 지하철 기본운임 0~6km</x:v>
      </x:c>
      <x:c r="G225" t="str">
        <x:v>Shanghai Metro Base Fare, 0–6 km</x:v>
      </x:c>
      <x:c r="H225" s="55" t="n">
        <x:v>3</x:v>
      </x:c>
      <x:c r="I225" s="55" t="n">
        <x:v>3</x:v>
      </x:c>
      <x:c r="J225" t="str">
        <x:v>CNY</x:v>
      </x:c>
      <x:c r="K225" t="str">
        <x:v>1회</x:v>
      </x:c>
      <x:c r="L225" t="str">
        <x:v>고정형</x:v>
      </x:c>
      <x:c r="M225" t="str">
        <x:v>성인 일반</x:v>
      </x:c>
      <x:c r="N225" t="str">
        <x:v>B 공공</x:v>
      </x:c>
      <x:c r="O225" t="str">
        <x:v>예</x:v>
      </x:c>
      <x:c r="P225" t="str">
        <x:v>확정 1차</x:v>
      </x:c>
      <x:c r="Q225" s="51" t="n">
        <x:v>46298</x:v>
      </x:c>
      <x:c r="R225" t="str">
        <x:v>2026-10-03 확인</x:v>
      </x:c>
      <x:c r="S225" t="str">
        <x:v>上海市发展和改革委员会</x:v>
      </x:c>
      <x:c r="T225" t="str">
        <x:v>https://fgw.sh.gov.cn/fgw_zcjd/20260819/546a7d3b27914f4db2e81fdc0510b164.html</x:v>
      </x:c>
      <x:c r="U225" s="23" t="str">
        <x:v>공식 가격당국 FAQ에 현행 운임 0~6km 3위안, 이후 10km마다 1위안으로 명시. 2026-09-08 청문회 뒤 당국이 의견을 정리해 확정안을 추후 공개한다고 안내했으며 청문회안은 시행 전임.</x:v>
      </x:c>
    </x:row>
    <x:row r="226" ht="36" customHeight="1">
      <x:c r="A226" t="str">
        <x:v>SHA-TR-002</x:v>
      </x:c>
      <x:c r="B226" t="str">
        <x:v>중국</x:v>
      </x:c>
      <x:c r="C226" t="str">
        <x:v>상하이</x:v>
      </x:c>
      <x:c r="D226" t="str">
        <x:v>교통</x:v>
      </x:c>
      <x:c r="E226" t="str">
        <x:v>시내버스 1회 요금</x:v>
      </x:c>
      <x:c r="F226" t="str">
        <x:v>상하이 일반 시내버스 편도</x:v>
      </x:c>
      <x:c r="G226" t="str">
        <x:v>Shanghai Regular Downtown Bus, One Way</x:v>
      </x:c>
      <x:c r="H226" s="55" t="n">
        <x:v>2</x:v>
      </x:c>
      <x:c r="I226" s="55" t="n">
        <x:v>2</x:v>
      </x:c>
      <x:c r="J226" t="str">
        <x:v>CNY</x:v>
      </x:c>
      <x:c r="K226" t="str">
        <x:v>1회</x:v>
      </x:c>
      <x:c r="L226" t="str">
        <x:v>고정형</x:v>
      </x:c>
      <x:c r="M226" t="str">
        <x:v>성인 일반</x:v>
      </x:c>
      <x:c r="N226" t="str">
        <x:v>B 공공</x:v>
      </x:c>
      <x:c r="O226" t="str">
        <x:v>예</x:v>
      </x:c>
      <x:c r="P226" t="str">
        <x:v>확정 1차</x:v>
      </x:c>
      <x:c r="Q226" s="51" t="n">
        <x:v>46298</x:v>
      </x:c>
      <x:c r="R226" t="str">
        <x:v>2026-06-30 갱신</x:v>
      </x:c>
      <x:c r="S226" t="str">
        <x:v>Shanghai Municipal Government</x:v>
      </x:c>
      <x:c r="T226" t="str">
        <x:v>https://english.shanghai.gov.cn/en-Transportation/20240102/44f499a17b324b25996f2d58fcbf5f23.html</x:v>
      </x:c>
      <x:c r="U226" s="23" t="str">
        <x:v>시 정부 교통 안내는 정기 시내버스 편도 요금을 2위안으로 표기. 추정·평균이 아닌 공시 운임.</x:v>
      </x:c>
    </x:row>
    <x:row r="227" ht="36" customHeight="1">
      <x:c r="A227" t="str">
        <x:v>SHA-TR-003</x:v>
      </x:c>
      <x:c r="B227" t="str">
        <x:v>중국</x:v>
      </x:c>
      <x:c r="C227" t="str">
        <x:v>상하이</x:v>
      </x:c>
      <x:c r="D227" t="str">
        <x:v>교통</x:v>
      </x:c>
      <x:c r="E227" t="str">
        <x:v>여객선 1회 요금</x:v>
      </x:c>
      <x:c r="F227" t="str">
        <x:v>황푸강 페리 보행자 편도</x:v>
      </x:c>
      <x:c r="G227" t="str">
        <x:v>Huangpu River Ferry Pedestrian, One Way</x:v>
      </x:c>
      <x:c r="H227" s="55" t="n">
        <x:v>2</x:v>
      </x:c>
      <x:c r="I227" s="55" t="n">
        <x:v>2</x:v>
      </x:c>
      <x:c r="J227" t="str">
        <x:v>CNY</x:v>
      </x:c>
      <x:c r="K227" t="str">
        <x:v>1회</x:v>
      </x:c>
      <x:c r="L227" t="str">
        <x:v>고정형</x:v>
      </x:c>
      <x:c r="M227" t="str">
        <x:v>보행자</x:v>
      </x:c>
      <x:c r="N227" t="str">
        <x:v>B 공공</x:v>
      </x:c>
      <x:c r="O227" t="str">
        <x:v>예</x:v>
      </x:c>
      <x:c r="P227" t="str">
        <x:v>확정 1차</x:v>
      </x:c>
      <x:c r="Q227" s="51" t="n">
        <x:v>46298</x:v>
      </x:c>
      <x:c r="R227" t="str">
        <x:v>2026-10-03 확인</x:v>
      </x:c>
      <x:c r="S227" t="str">
        <x:v>Shanghai Municipal Administration of Culture and Tourism</x:v>
      </x:c>
      <x:c r="T227" t="str">
        <x:v>https://cmp.whlyj.sh.gov.cn/CMPEN/trf_init.ac?type=2</x:v>
      </x:c>
      <x:c r="U227" s="23" t="str">
        <x:v>상하이시 문화·관광 행정 포털이 보행자 편도 2위안으로 표기.</x:v>
      </x:c>
    </x:row>
    <x:row r="228" ht="36" customHeight="1">
      <x:c r="A228" t="str">
        <x:v>SHA-AP-001</x:v>
      </x:c>
      <x:c r="B228" t="str">
        <x:v>중국</x:v>
      </x:c>
      <x:c r="C228" t="str">
        <x:v>상하이</x:v>
      </x:c>
      <x:c r="D228" t="str">
        <x:v>공항이동</x:v>
      </x:c>
      <x:c r="E228" t="str">
        <x:v>자기부상열차</x:v>
      </x:c>
      <x:c r="F228" t="str">
        <x:v>푸둥공항–룽양루 자기부상열차 편도 일반석</x:v>
      </x:c>
      <x:c r="G228" t="str">
        <x:v>Pudong Airport–Longyang Road Maglev, One Way Standard</x:v>
      </x:c>
      <x:c r="H228" s="55" t="n">
        <x:v>50</x:v>
      </x:c>
      <x:c r="I228" s="55" t="n">
        <x:v>50</x:v>
      </x:c>
      <x:c r="J228" t="str">
        <x:v>CNY</x:v>
      </x:c>
      <x:c r="K228" t="str">
        <x:v>성인 1인 편도</x:v>
      </x:c>
      <x:c r="L228" t="str">
        <x:v>고정형</x:v>
      </x:c>
      <x:c r="M228" t="str">
        <x:v>일반</x:v>
      </x:c>
      <x:c r="N228" t="str">
        <x:v>A 공식</x:v>
      </x:c>
      <x:c r="O228" t="str">
        <x:v>예</x:v>
      </x:c>
      <x:c r="P228" t="str">
        <x:v>확정 1차</x:v>
      </x:c>
      <x:c r="Q228" s="51" t="n">
        <x:v>46298</x:v>
      </x:c>
      <x:c r="R228" t="str">
        <x:v>2025-08-13 갱신</x:v>
      </x:c>
      <x:c r="S228" t="str">
        <x:v>上海机场(集团)有限公司</x:v>
      </x:c>
      <x:c r="T228" t="str">
        <x:v>https://www.shanghaiairport.com/cxf/index.html</x:v>
      </x:c>
      <x:c r="U228" s="23" t="str">
        <x:v>상하이공항그룹 공식 안내의 일반석 편도 50위안. 왕복권 가격은 사용하지 않음.</x:v>
      </x:c>
    </x:row>
    <x:row r="229" ht="36" customHeight="1">
      <x:c r="A229" t="str">
        <x:v>SHA-AP-002</x:v>
      </x:c>
      <x:c r="B229" t="str">
        <x:v>중국</x:v>
      </x:c>
      <x:c r="C229" t="str">
        <x:v>상하이</x:v>
      </x:c>
      <x:c r="D229" t="str">
        <x:v>공항이동</x:v>
      </x:c>
      <x:c r="E229" t="str">
        <x:v>공항버스</x:v>
      </x:c>
      <x:c r="F229" t="str">
        <x:v>홍차오공항 T1–칭젠신춘 807번 편도</x:v>
      </x:c>
      <x:c r="G229" t="str">
        <x:v>Hongqiao Airport T1–Qingjian Xincun Bus 807, One Way</x:v>
      </x:c>
      <x:c r="H229" s="55" t="n">
        <x:v>2</x:v>
      </x:c>
      <x:c r="I229" s="55" t="n">
        <x:v>2</x:v>
      </x:c>
      <x:c r="J229" t="str">
        <x:v>CNY</x:v>
      </x:c>
      <x:c r="K229" t="str">
        <x:v>성인 1인 편도</x:v>
      </x:c>
      <x:c r="L229" t="str">
        <x:v>고정형</x:v>
      </x:c>
      <x:c r="M229" t="str">
        <x:v>일반</x:v>
      </x:c>
      <x:c r="N229" t="str">
        <x:v>A 공식</x:v>
      </x:c>
      <x:c r="O229" t="str">
        <x:v>예</x:v>
      </x:c>
      <x:c r="P229" t="str">
        <x:v>확정 1차</x:v>
      </x:c>
      <x:c r="Q229" s="51" t="n">
        <x:v>46298</x:v>
      </x:c>
      <x:c r="R229" t="str">
        <x:v>2026-04-22 갱신</x:v>
      </x:c>
      <x:c r="S229" t="str">
        <x:v>Shanghai Airport (Group) Co Ltd</x:v>
      </x:c>
      <x:c r="T229" t="str">
        <x:v>https://www.shanghaiairport.com/ensh/dmjt/index.html</x:v>
      </x:c>
      <x:c r="U229" s="23" t="str">
        <x:v>상하이공항그룹 공식 버스표에서 출발 Hongqiao Airport Terminal 1, 목적지 Qingjian Xincun, 운임 2위안.</x:v>
      </x:c>
    </x:row>
    <x:row r="230" ht="36" customHeight="1">
      <x:c r="A230" t="str">
        <x:v>SHA-FD-001</x:v>
      </x:c>
      <x:c r="B230" t="str">
        <x:v>중국</x:v>
      </x:c>
      <x:c r="C230" t="str">
        <x:v>상하이</x:v>
      </x:c>
      <x:c r="D230" t="str">
        <x:v>외식</x:v>
      </x:c>
      <x:c r="E230" t="str">
        <x:v>메뉴 표본</x:v>
      </x:c>
      <x:c r="F230" t="str">
        <x:v>Zeitgeist 치킨 라이스</x:v>
      </x:c>
      <x:c r="G230" t="str">
        <x:v>Zeitgeist Chicken Rice</x:v>
      </x:c>
      <x:c r="H230" s="55" t="n">
        <x:v>75</x:v>
      </x:c>
      <x:c r="I230" s="55" t="n">
        <x:v>75</x:v>
      </x:c>
      <x:c r="J230" t="str">
        <x:v>CNY</x:v>
      </x:c>
      <x:c r="K230" t="str">
        <x:v>1인분</x:v>
      </x:c>
      <x:c r="L230" t="str">
        <x:v>메뉴형</x:v>
      </x:c>
      <x:c r="M230" t="str">
        <x:v>일반</x:v>
      </x:c>
      <x:c r="N230" t="str">
        <x:v>A 공식</x:v>
      </x:c>
      <x:c r="O230" t="str">
        <x:v>예</x:v>
      </x:c>
      <x:c r="P230" t="str">
        <x:v>확정 1차</x:v>
      </x:c>
      <x:c r="Q230" s="51" t="n">
        <x:v>46298</x:v>
      </x:c>
      <x:c r="R230" t="str">
        <x:v>2026-10-03 확인</x:v>
      </x:c>
      <x:c r="S230" t="str">
        <x:v>Zeitgeist Shanghai</x:v>
      </x:c>
      <x:c r="T230" t="str">
        <x:v>https://www.zeitgeistshanghai.com/menu.php?CateId=3</x:v>
      </x:c>
      <x:c r="U230" s="23" t="str">
        <x:v>공식 메뉴의 Chicken Rice 가격 75위안.</x:v>
      </x:c>
    </x:row>
    <x:row r="231" ht="36" customHeight="1">
      <x:c r="A231" t="str">
        <x:v>SHA-FD-002</x:v>
      </x:c>
      <x:c r="B231" t="str">
        <x:v>중국</x:v>
      </x:c>
      <x:c r="C231" t="str">
        <x:v>상하이</x:v>
      </x:c>
      <x:c r="D231" t="str">
        <x:v>외식</x:v>
      </x:c>
      <x:c r="E231" t="str">
        <x:v>메뉴 표본</x:v>
      </x:c>
      <x:c r="F231" t="str">
        <x:v>Urban Thai 태국 그린 커리</x:v>
      </x:c>
      <x:c r="G231" t="str">
        <x:v>Urban Thai Thai Green Curry</x:v>
      </x:c>
      <x:c r="H231" s="55" t="n">
        <x:v>58</x:v>
      </x:c>
      <x:c r="I231" s="55" t="n">
        <x:v>58</x:v>
      </x:c>
      <x:c r="J231" t="str">
        <x:v>CNY</x:v>
      </x:c>
      <x:c r="K231" t="str">
        <x:v>1인분</x:v>
      </x:c>
      <x:c r="L231" t="str">
        <x:v>메뉴형</x:v>
      </x:c>
      <x:c r="M231" t="str">
        <x:v>일반</x:v>
      </x:c>
      <x:c r="N231" t="str">
        <x:v>A 공식</x:v>
      </x:c>
      <x:c r="O231" t="str">
        <x:v>예</x:v>
      </x:c>
      <x:c r="P231" t="str">
        <x:v>확정 1차</x:v>
      </x:c>
      <x:c r="Q231" s="51" t="n">
        <x:v>46298</x:v>
      </x:c>
      <x:c r="R231" t="str">
        <x:v>2026-10-03 확인</x:v>
      </x:c>
      <x:c r="S231" t="str">
        <x:v>Urban Thai</x:v>
      </x:c>
      <x:c r="T231" t="str">
        <x:v>https://www.urban-thai.com/zh-hans/food-menu/%E7%B4%A0%E9%A3%9F%E8%8F%9C%E5%8D%95/</x:v>
      </x:c>
      <x:c r="U231" s="23" t="str">
        <x:v>식당 공식 메뉴의 Thai Green Curry 58위안.</x:v>
      </x:c>
    </x:row>
    <x:row r="232" ht="36" customHeight="1">
      <x:c r="A232" t="str">
        <x:v>SHA-FD-003</x:v>
      </x:c>
      <x:c r="B232" t="str">
        <x:v>중국</x:v>
      </x:c>
      <x:c r="C232" t="str">
        <x:v>상하이</x:v>
      </x:c>
      <x:c r="D232" t="str">
        <x:v>외식</x:v>
      </x:c>
      <x:c r="E232" t="str">
        <x:v>세트 메뉴</x:v>
      </x:c>
      <x:c r="F232" t="str">
        <x:v>Yi Long Court 딤섬 런치 테이스팅 메뉴</x:v>
      </x:c>
      <x:c r="G232" t="str">
        <x:v>Yi Long Court Dim Sum Lunch Degustation Menu</x:v>
      </x:c>
      <x:c r="H232" s="55" t="n">
        <x:v>298</x:v>
      </x:c>
      <x:c r="I232" s="55" t="n">
        <x:v>298</x:v>
      </x:c>
      <x:c r="J232" t="str">
        <x:v>CNY</x:v>
      </x:c>
      <x:c r="K232" t="str">
        <x:v>1인</x:v>
      </x:c>
      <x:c r="L232" t="str">
        <x:v>메뉴형</x:v>
      </x:c>
      <x:c r="M232" t="str">
        <x:v>일반</x:v>
      </x:c>
      <x:c r="N232" t="str">
        <x:v>A 공식</x:v>
      </x:c>
      <x:c r="O232" t="str">
        <x:v>예</x:v>
      </x:c>
      <x:c r="P232" t="str">
        <x:v>확정 1차</x:v>
      </x:c>
      <x:c r="Q232" s="51" t="n">
        <x:v>46298</x:v>
      </x:c>
      <x:c r="R232" t="str">
        <x:v>2026-04-13 게시</x:v>
      </x:c>
      <x:c r="S232" t="str">
        <x:v>Yi Long Court, The Peninsula Shanghai</x:v>
      </x:c>
      <x:c r="T232" t="str">
        <x:v>https://www.peninsula.com/-/media/files/shanghai/menu/2026/yi-long-court/0413/2026-ylc-set-menu.pdf</x:v>
      </x:c>
      <x:c r="U232" s="23" t="str">
        <x:v>호텔 공식 2026 세트 메뉴 1인 298위안. 별도 16.6% 서비스료·세금 추가.</x:v>
      </x:c>
    </x:row>
    <x:row r="233" ht="36" customHeight="1">
      <x:c r="A233" t="str">
        <x:v>SHA-FD-004</x:v>
      </x:c>
      <x:c r="B233" t="str">
        <x:v>중국</x:v>
      </x:c>
      <x:c r="C233" t="str">
        <x:v>상하이</x:v>
      </x:c>
      <x:c r="D233" t="str">
        <x:v>외식</x:v>
      </x:c>
      <x:c r="E233" t="str">
        <x:v>세트 메뉴</x:v>
      </x:c>
      <x:c r="F233" t="str">
        <x:v>Ortensia 2026 점심 세트</x:v>
      </x:c>
      <x:c r="G233" t="str">
        <x:v>Ortensia 2026 Lunch Menu</x:v>
      </x:c>
      <x:c r="H233" s="55" t="n">
        <x:v>1388</x:v>
      </x:c>
      <x:c r="I233" s="55" t="n">
        <x:v>1388</x:v>
      </x:c>
      <x:c r="J233" t="str">
        <x:v>CNY</x:v>
      </x:c>
      <x:c r="K233" t="str">
        <x:v>1인</x:v>
      </x:c>
      <x:c r="L233" t="str">
        <x:v>메뉴형</x:v>
      </x:c>
      <x:c r="M233" t="str">
        <x:v>일반</x:v>
      </x:c>
      <x:c r="N233" t="str">
        <x:v>A 공식</x:v>
      </x:c>
      <x:c r="O233" t="str">
        <x:v>예</x:v>
      </x:c>
      <x:c r="P233" t="str">
        <x:v>확정 1차</x:v>
      </x:c>
      <x:c r="Q233" s="51" t="n">
        <x:v>46298</x:v>
      </x:c>
      <x:c r="R233" t="str">
        <x:v>2026 메뉴</x:v>
      </x:c>
      <x:c r="S233" t="str">
        <x:v>ŌRTENSIA Shanghai</x:v>
      </x:c>
      <x:c r="T233" t="str">
        <x:v>https://www.restaurantortensia.com/shanghai</x:v>
      </x:c>
      <x:c r="U233" s="23" t="str">
        <x:v>레스토랑 공식 2026 점심 세트 1인 1,388위안. 별도 10% 서비스료 추가.</x:v>
      </x:c>
    </x:row>
    <x:row r="234" ht="36" customHeight="1">
      <x:c r="A234" t="str">
        <x:v>SHA-FD-005</x:v>
      </x:c>
      <x:c r="B234" t="str">
        <x:v>중국</x:v>
      </x:c>
      <x:c r="C234" t="str">
        <x:v>상하이</x:v>
      </x:c>
      <x:c r="D234" t="str">
        <x:v>외식</x:v>
      </x:c>
      <x:c r="E234" t="str">
        <x:v>메뉴 표본</x:v>
      </x:c>
      <x:c r="F234" t="str">
        <x:v>Pinocchio Village Kitchen 새콤달콤 돼지고기 120g</x:v>
      </x:c>
      <x:c r="G234" t="str">
        <x:v>Pinocchio Village Kitchen Sweet and Sour Pork Strips, 120 g</x:v>
      </x:c>
      <x:c r="H234" s="55" t="n">
        <x:v>50</x:v>
      </x:c>
      <x:c r="I234" s="55" t="n">
        <x:v>50</x:v>
      </x:c>
      <x:c r="J234" t="str">
        <x:v>CNY</x:v>
      </x:c>
      <x:c r="K234" t="str">
        <x:v>1인분 120g</x:v>
      </x:c>
      <x:c r="L234" t="str">
        <x:v>메뉴형</x:v>
      </x:c>
      <x:c r="M234" t="str">
        <x:v>일반</x:v>
      </x:c>
      <x:c r="N234" t="str">
        <x:v>A 공식</x:v>
      </x:c>
      <x:c r="O234" t="str">
        <x:v>예</x:v>
      </x:c>
      <x:c r="P234" t="str">
        <x:v>확정 1차</x:v>
      </x:c>
      <x:c r="Q234" s="51" t="n">
        <x:v>46298</x:v>
      </x:c>
      <x:c r="R234" t="str">
        <x:v>2026-10-03 확인</x:v>
      </x:c>
      <x:c r="S234" t="str">
        <x:v>Shanghai Disney Resort</x:v>
      </x:c>
      <x:c r="T234" t="str">
        <x:v>https://static.shanghaidisneyresort.com/web-img-gallery/pinocchio_village_kitchen.pdf</x:v>
      </x:c>
      <x:c r="U234" s="23" t="str">
        <x:v>상하이 디즈니 리조트 운영사 공식 식당 메뉴의 단품 50위안.</x:v>
      </x:c>
    </x:row>
    <x:row r="235" ht="36" customHeight="1">
      <x:c r="A235" t="str">
        <x:v>SHA-SN-001</x:v>
      </x:c>
      <x:c r="B235" t="str">
        <x:v>중국</x:v>
      </x:c>
      <x:c r="C235" t="str">
        <x:v>상하이</x:v>
      </x:c>
      <x:c r="D235" t="str">
        <x:v>외식</x:v>
      </x:c>
      <x:c r="E235" t="str">
        <x:v>간식</x:v>
      </x:c>
      <x:c r="F235" t="str">
        <x:v>El Bodegón 치즈케이크</x:v>
      </x:c>
      <x:c r="G235" t="str">
        <x:v>El Bodegón Cheesecake</x:v>
      </x:c>
      <x:c r="H235" s="55" t="n">
        <x:v>55</x:v>
      </x:c>
      <x:c r="I235" s="55" t="n">
        <x:v>55</x:v>
      </x:c>
      <x:c r="J235" t="str">
        <x:v>CNY</x:v>
      </x:c>
      <x:c r="K235" t="str">
        <x:v>1인분</x:v>
      </x:c>
      <x:c r="L235" t="str">
        <x:v>메뉴형</x:v>
      </x:c>
      <x:c r="M235" t="str">
        <x:v>일반</x:v>
      </x:c>
      <x:c r="N235" t="str">
        <x:v>A 공식</x:v>
      </x:c>
      <x:c r="O235" t="str">
        <x:v>예</x:v>
      </x:c>
      <x:c r="P235" t="str">
        <x:v>확정 1차</x:v>
      </x:c>
      <x:c r="Q235" s="51" t="n">
        <x:v>46298</x:v>
      </x:c>
      <x:c r="R235" t="str">
        <x:v>2026-10-03 확인</x:v>
      </x:c>
      <x:c r="S235" t="str">
        <x:v>El Bodegón Shanghai</x:v>
      </x:c>
      <x:c r="T235" t="str">
        <x:v>https://elbodegonshanghai.com/menu</x:v>
      </x:c>
      <x:c r="U235" s="23" t="str">
        <x:v>식당 공식 메뉴의 치즈케이크 55위안.</x:v>
      </x:c>
    </x:row>
    <x:row r="236" ht="36" customHeight="1">
      <x:c r="A236" t="str">
        <x:v>SHA-SN-002</x:v>
      </x:c>
      <x:c r="B236" t="str">
        <x:v>중국</x:v>
      </x:c>
      <x:c r="C236" t="str">
        <x:v>상하이</x:v>
      </x:c>
      <x:c r="D236" t="str">
        <x:v>외식</x:v>
      </x:c>
      <x:c r="E236" t="str">
        <x:v>음료</x:v>
      </x:c>
      <x:c r="F236" t="str">
        <x:v>The Sukhothai Urban Café 카푸치노</x:v>
      </x:c>
      <x:c r="G236" t="str">
        <x:v>The Sukhothai Urban Café Cappuccino</x:v>
      </x:c>
      <x:c r="H236" s="55" t="n">
        <x:v>65</x:v>
      </x:c>
      <x:c r="I236" s="55" t="n">
        <x:v>65</x:v>
      </x:c>
      <x:c r="J236" t="str">
        <x:v>CNY</x:v>
      </x:c>
      <x:c r="K236" t="str">
        <x:v>1잔</x:v>
      </x:c>
      <x:c r="L236" t="str">
        <x:v>메뉴형</x:v>
      </x:c>
      <x:c r="M236" t="str">
        <x:v>일반</x:v>
      </x:c>
      <x:c r="N236" t="str">
        <x:v>A 공식</x:v>
      </x:c>
      <x:c r="O236" t="str">
        <x:v>예</x:v>
      </x:c>
      <x:c r="P236" t="str">
        <x:v>확정 1차</x:v>
      </x:c>
      <x:c r="Q236" s="51" t="n">
        <x:v>46298</x:v>
      </x:c>
      <x:c r="R236" t="str">
        <x:v>2026-01-05 게시</x:v>
      </x:c>
      <x:c r="S236" t="str">
        <x:v>The Sukhothai Shanghai</x:v>
      </x:c>
      <x:c r="T236" t="str">
        <x:v>https://shanghai.sukhothai.com/file/webpage/shared/20260105_URBAN%20Cafe%20Menu.pdf</x:v>
      </x:c>
      <x:c r="U236" s="23" t="str">
        <x:v>호텔 공식 2026 메뉴의 카푸치노 65위안. 가격에 서비스료와 부가세 포함.</x:v>
      </x:c>
    </x:row>
    <x:row r="237" ht="36" customHeight="1">
      <x:c r="A237" t="str">
        <x:v>SHA-SN-003</x:v>
      </x:c>
      <x:c r="B237" t="str">
        <x:v>중국</x:v>
      </x:c>
      <x:c r="C237" t="str">
        <x:v>상하이</x:v>
      </x:c>
      <x:c r="D237" t="str">
        <x:v>외식</x:v>
      </x:c>
      <x:c r="E237" t="str">
        <x:v>간식</x:v>
      </x:c>
      <x:c r="F237" t="str">
        <x:v>Shanghai Young Bakers 프레첼 80g</x:v>
      </x:c>
      <x:c r="G237" t="str">
        <x:v>Shanghai Young Bakers Pretzel, 80 g</x:v>
      </x:c>
      <x:c r="H237" s="55" t="n">
        <x:v>12</x:v>
      </x:c>
      <x:c r="I237" s="55" t="n">
        <x:v>12</x:v>
      </x:c>
      <x:c r="J237" t="str">
        <x:v>CNY</x:v>
      </x:c>
      <x:c r="K237" t="str">
        <x:v>1개 80g</x:v>
      </x:c>
      <x:c r="L237" t="str">
        <x:v>메뉴형</x:v>
      </x:c>
      <x:c r="M237" t="str">
        <x:v>일반</x:v>
      </x:c>
      <x:c r="N237" t="str">
        <x:v>A 공식</x:v>
      </x:c>
      <x:c r="O237" t="str">
        <x:v>예</x:v>
      </x:c>
      <x:c r="P237" t="str">
        <x:v>확정 1차</x:v>
      </x:c>
      <x:c r="Q237" s="51" t="n">
        <x:v>46298</x:v>
      </x:c>
      <x:c r="R237" t="str">
        <x:v>2026-10-03 확인</x:v>
      </x:c>
      <x:c r="S237" t="str">
        <x:v>Shanghai Young Bakers</x:v>
      </x:c>
      <x:c r="T237" t="str">
        <x:v>https://www.shanghaiyoungbakers.com/our-social-enterprise/catering-service/</x:v>
      </x:c>
      <x:c r="U237" s="23" t="str">
        <x:v>공식 정기 메뉴에 프레첼 80g 12위안, 최소 주문 수량 5개. 가격은 개당 표기.</x:v>
      </x:c>
    </x:row>
    <x:row r="238" ht="36" customHeight="1">
      <x:c r="A238" t="str">
        <x:v>SHA-AL-001</x:v>
      </x:c>
      <x:c r="B238" t="str">
        <x:v>중국</x:v>
      </x:c>
      <x:c r="C238" t="str">
        <x:v>상하이</x:v>
      </x:c>
      <x:c r="D238" t="str">
        <x:v>외식</x:v>
      </x:c>
      <x:c r="E238" t="str">
        <x:v>주류</x:v>
      </x:c>
      <x:c r="F238" t="str">
        <x:v>Aster Michele Chiarlo Nivole Moscato d’Asti</x:v>
      </x:c>
      <x:c r="G238" t="str">
        <x:v>Aster Michele Chiarlo Nivole Moscato d’Asti</x:v>
      </x:c>
      <x:c r="H238" s="55" t="n">
        <x:v>68</x:v>
      </x:c>
      <x:c r="I238" s="55" t="n">
        <x:v>68</x:v>
      </x:c>
      <x:c r="J238" t="str">
        <x:v>CNY</x:v>
      </x:c>
      <x:c r="K238" t="str">
        <x:v>1잔 60ml</x:v>
      </x:c>
      <x:c r="L238" t="str">
        <x:v>메뉴형</x:v>
      </x:c>
      <x:c r="M238" t="str">
        <x:v>성인</x:v>
      </x:c>
      <x:c r="N238" t="str">
        <x:v>A 공식</x:v>
      </x:c>
      <x:c r="O238" t="str">
        <x:v>예</x:v>
      </x:c>
      <x:c r="P238" t="str">
        <x:v>확정 1차</x:v>
      </x:c>
      <x:c r="Q238" s="51" t="n">
        <x:v>46298</x:v>
      </x:c>
      <x:c r="R238" t="str">
        <x:v>2026-10-03 확인</x:v>
      </x:c>
      <x:c r="S238" t="str">
        <x:v>Aster by Joshua Paris</x:v>
      </x:c>
      <x:c r="T238" t="str">
        <x:v>https://asterbyjoshuaparis.com/</x:v>
      </x:c>
      <x:c r="U238" s="23" t="str">
        <x:v>공식 메뉴에 2020년 Moscato d’Asti 1잔 60ml, 68위안.</x:v>
      </x:c>
    </x:row>
    <x:row r="239" ht="36" customHeight="1">
      <x:c r="A239" t="str">
        <x:v>SHA-AL-002</x:v>
      </x:c>
      <x:c r="B239" t="str">
        <x:v>중국</x:v>
      </x:c>
      <x:c r="C239" t="str">
        <x:v>상하이</x:v>
      </x:c>
      <x:c r="D239" t="str">
        <x:v>외식</x:v>
      </x:c>
      <x:c r="E239" t="str">
        <x:v>주류</x:v>
      </x:c>
      <x:c r="F239" t="str">
        <x:v>Park Hyatt Shanghai 아사히 맥주</x:v>
      </x:c>
      <x:c r="G239" t="str">
        <x:v>Park Hyatt Shanghai Asahi Beer</x:v>
      </x:c>
      <x:c r="H239" s="55" t="n">
        <x:v>75</x:v>
      </x:c>
      <x:c r="I239" s="55" t="n">
        <x:v>75</x:v>
      </x:c>
      <x:c r="J239" t="str">
        <x:v>CNY</x:v>
      </x:c>
      <x:c r="K239" t="str">
        <x:v>1병 330ml</x:v>
      </x:c>
      <x:c r="L239" t="str">
        <x:v>메뉴형</x:v>
      </x:c>
      <x:c r="M239" t="str">
        <x:v>성인</x:v>
      </x:c>
      <x:c r="N239" t="str">
        <x:v>A 공식</x:v>
      </x:c>
      <x:c r="O239" t="str">
        <x:v>예</x:v>
      </x:c>
      <x:c r="P239" t="str">
        <x:v>확정 1차</x:v>
      </x:c>
      <x:c r="Q239" s="51" t="n">
        <x:v>46298</x:v>
      </x:c>
      <x:c r="R239" t="str">
        <x:v>2026-10-03 확인</x:v>
      </x:c>
      <x:c r="S239" t="str">
        <x:v>Park Hyatt Shanghai</x:v>
      </x:c>
      <x:c r="T239" t="str">
        <x:v>https://www.hyatt.com/content/dam/hotel/propertysites/assets/park/shaph/documents/en_us/dining/room-services/Room-Service-Menu.pdf</x:v>
      </x:c>
      <x:c r="U239" s="23" t="str">
        <x:v>호텔 공식 룸서비스 메뉴의 Asahi 330ml 75위안. 가격에 서비스료 10%와 정부세금 6% 포함.</x:v>
      </x:c>
    </x:row>
    <x:row r="240" ht="36" customHeight="1">
      <x:c r="A240" t="str">
        <x:v>SHA-AL-003</x:v>
      </x:c>
      <x:c r="B240" t="str">
        <x:v>중국</x:v>
      </x:c>
      <x:c r="C240" t="str">
        <x:v>상하이</x:v>
      </x:c>
      <x:c r="D240" t="str">
        <x:v>외식</x:v>
      </x:c>
      <x:c r="E240" t="str">
        <x:v>주류</x:v>
      </x:c>
      <x:c r="F240" t="str">
        <x:v>Hakkasan Shanghai Tsing Tao 맥주</x:v>
      </x:c>
      <x:c r="G240" t="str">
        <x:v>Hakkasan Shanghai Tsing Tao Beer</x:v>
      </x:c>
      <x:c r="H240" s="55" t="n">
        <x:v>55</x:v>
      </x:c>
      <x:c r="I240" s="55" t="n">
        <x:v>55</x:v>
      </x:c>
      <x:c r="J240" t="str">
        <x:v>CNY</x:v>
      </x:c>
      <x:c r="K240" t="str">
        <x:v>1병 296ml</x:v>
      </x:c>
      <x:c r="L240" t="str">
        <x:v>메뉴형</x:v>
      </x:c>
      <x:c r="M240" t="str">
        <x:v>성인</x:v>
      </x:c>
      <x:c r="N240" t="str">
        <x:v>A 공식</x:v>
      </x:c>
      <x:c r="O240" t="str">
        <x:v>예</x:v>
      </x:c>
      <x:c r="P240" t="str">
        <x:v>확정 1차</x:v>
      </x:c>
      <x:c r="Q240" s="51" t="n">
        <x:v>46298</x:v>
      </x:c>
      <x:c r="R240" t="str">
        <x:v>2026-10-03 확인</x:v>
      </x:c>
      <x:c r="S240" t="str">
        <x:v>Hakkasan Shanghai</x:v>
      </x:c>
      <x:c r="T240" t="str">
        <x:v>https://hakkasangroup.com/venues/hakkasan-shanghai/menu/</x:v>
      </x:c>
      <x:c r="U240" s="23" t="str">
        <x:v>식당 공식 현재 메뉴의 Tsing Tao 병맥주 296ml 55위안.</x:v>
      </x:c>
    </x:row>
    <x:row r="241" ht="36" customHeight="1">
      <x:c r="A241" t="str">
        <x:v>SHA-SV-001</x:v>
      </x:c>
      <x:c r="B241" t="str">
        <x:v>중국</x:v>
      </x:c>
      <x:c r="C241" t="str">
        <x:v>상하이</x:v>
      </x:c>
      <x:c r="D241" t="str">
        <x:v>기념품</x:v>
      </x:c>
      <x:c r="E241" t="str">
        <x:v>식품</x:v>
      </x:c>
      <x:c r="F241" t="str">
        <x:v>상하이제일식품 대백토 크림 매실사탕 168g</x:v>
      </x:c>
      <x:c r="G241" t="str">
        <x:v>Shanghai First Food White Rabbit Cream Plum Candy, 168 g</x:v>
      </x:c>
      <x:c r="H241" s="55" t="n">
        <x:v>9</x:v>
      </x:c>
      <x:c r="I241" s="55" t="n">
        <x:v>9</x:v>
      </x:c>
      <x:c r="J241" t="str">
        <x:v>CNY</x:v>
      </x:c>
      <x:c r="K241" t="str">
        <x:v>1봉 168g</x:v>
      </x:c>
      <x:c r="L241" t="str">
        <x:v>고정형</x:v>
      </x:c>
      <x:c r="M241" t="str">
        <x:v>일반</x:v>
      </x:c>
      <x:c r="N241" t="str">
        <x:v>A 공식</x:v>
      </x:c>
      <x:c r="O241" t="str">
        <x:v>예</x:v>
      </x:c>
      <x:c r="P241" t="str">
        <x:v>확정 1차</x:v>
      </x:c>
      <x:c r="Q241" s="51" t="n">
        <x:v>46298</x:v>
      </x:c>
      <x:c r="R241" t="str">
        <x:v>2026-10-03 확인</x:v>
      </x:c>
      <x:c r="S241" t="str">
        <x:v>上海第一食品官方旗舰店</x:v>
      </x:c>
      <x:c r="T241" t="str">
        <x:v>https://detail.youzan.com/show/goods?alias=1yammhb5k59taqk&amp;from_source=gbox_seo</x:v>
      </x:c>
      <x:c r="U241" s="23" t="str">
        <x:v>공식 플래그십 상품 상세의 판매가 9위안, 168g.</x:v>
      </x:c>
    </x:row>
    <x:row r="242" ht="36" customHeight="1">
      <x:c r="A242" t="str">
        <x:v>SHA-SV-002</x:v>
      </x:c>
      <x:c r="B242" t="str">
        <x:v>중국</x:v>
      </x:c>
      <x:c r="C242" t="str">
        <x:v>상하이</x:v>
      </x:c>
      <x:c r="D242" t="str">
        <x:v>기념품</x:v>
      </x:c>
      <x:c r="E242" t="str">
        <x:v>식품</x:v>
      </x:c>
      <x:c r="F242" t="str">
        <x:v>Lao Xiang Zhai 버터 아몬드 슬라이스 500g</x:v>
      </x:c>
      <x:c r="G242" t="str">
        <x:v>Lao Xiang Zhai Butter Almond Slices, 500 g</x:v>
      </x:c>
      <x:c r="H242" s="55" t="n">
        <x:v>33</x:v>
      </x:c>
      <x:c r="I242" s="55" t="n">
        <x:v>33</x:v>
      </x:c>
      <x:c r="J242" t="str">
        <x:v>CNY</x:v>
      </x:c>
      <x:c r="K242" t="str">
        <x:v>1상자 500g</x:v>
      </x:c>
      <x:c r="L242" t="str">
        <x:v>고정형</x:v>
      </x:c>
      <x:c r="M242" t="str">
        <x:v>일반</x:v>
      </x:c>
      <x:c r="N242" t="str">
        <x:v>A 공식</x:v>
      </x:c>
      <x:c r="O242" t="str">
        <x:v>예</x:v>
      </x:c>
      <x:c r="P242" t="str">
        <x:v>확정 1차</x:v>
      </x:c>
      <x:c r="Q242" s="51" t="n">
        <x:v>46298</x:v>
      </x:c>
      <x:c r="R242" t="str">
        <x:v>2026-10-03 확인</x:v>
      </x:c>
      <x:c r="S242" t="str">
        <x:v>上海老香斋官方店</x:v>
      </x:c>
      <x:c r="T242" t="str">
        <x:v>https://detail.youzan.com/show/goods?alias=27bh5qgpwriqk&amp;from_source=gbox_seo</x:v>
      </x:c>
      <x:c r="U242" s="23" t="str">
        <x:v>브랜드 공식 온라인 스토어 상품 상세의 500g 33위안.</x:v>
      </x:c>
    </x:row>
    <x:row r="243" ht="36" customHeight="1">
      <x:c r="A243" t="str">
        <x:v>SHA-SV-003</x:v>
      </x:c>
      <x:c r="B243" t="str">
        <x:v>중국</x:v>
      </x:c>
      <x:c r="C243" t="str">
        <x:v>상하이</x:v>
      </x:c>
      <x:c r="D243" t="str">
        <x:v>기념품</x:v>
      </x:c>
      <x:c r="E243" t="str">
        <x:v>잡화</x:v>
      </x:c>
      <x:c r="F243" t="str">
        <x:v>중국항해박물관 해도 메모지</x:v>
      </x:c>
      <x:c r="G243" t="str">
        <x:v>China Maritime Museum Chart Sticky Notes</x:v>
      </x:c>
      <x:c r="H243" s="55" t="n">
        <x:v>18</x:v>
      </x:c>
      <x:c r="I243" s="55" t="n">
        <x:v>18</x:v>
      </x:c>
      <x:c r="J243" t="str">
        <x:v>CNY</x:v>
      </x:c>
      <x:c r="K243" t="str">
        <x:v>1개</x:v>
      </x:c>
      <x:c r="L243" t="str">
        <x:v>고정형</x:v>
      </x:c>
      <x:c r="M243" t="str">
        <x:v>일반</x:v>
      </x:c>
      <x:c r="N243" t="str">
        <x:v>A 공식</x:v>
      </x:c>
      <x:c r="O243" t="str">
        <x:v>예</x:v>
      </x:c>
      <x:c r="P243" t="str">
        <x:v>확정 1차</x:v>
      </x:c>
      <x:c r="Q243" s="51" t="n">
        <x:v>46298</x:v>
      </x:c>
      <x:c r="R243" t="str">
        <x:v>2026-10-03 확인</x:v>
      </x:c>
      <x:c r="S243" t="str">
        <x:v>China Maritime Museum</x:v>
      </x:c>
      <x:c r="T243" t="str">
        <x:v>https://www.shmmc.com.cn/Home/WcspDetail?condition=7</x:v>
      </x:c>
      <x:c r="U243" s="23" t="str">
        <x:v>박물관 공식 상품 페이지의 해도 메모지 18위안.</x:v>
      </x:c>
    </x:row>
    <x:row r="244" ht="36" customHeight="1">
      <x:c r="A244" t="str">
        <x:v>SHA-AT-001</x:v>
      </x:c>
      <x:c r="B244" t="str">
        <x:v>중국</x:v>
      </x:c>
      <x:c r="C244" t="str">
        <x:v>상하이</x:v>
      </x:c>
      <x:c r="D244" t="str">
        <x:v>관광</x:v>
      </x:c>
      <x:c r="E244" t="str">
        <x:v>박물관</x:v>
      </x:c>
      <x:c r="F244" t="str">
        <x:v>상하이 자연박물관 성인 입장권</x:v>
      </x:c>
      <x:c r="G244" t="str">
        <x:v>Shanghai Natural History Museum Adult Admission</x:v>
      </x:c>
      <x:c r="H244" s="55" t="n">
        <x:v>30</x:v>
      </x:c>
      <x:c r="I244" s="55" t="n">
        <x:v>30</x:v>
      </x:c>
      <x:c r="J244" t="str">
        <x:v>CNY</x:v>
      </x:c>
      <x:c r="K244" t="str">
        <x:v>성인 1인</x:v>
      </x:c>
      <x:c r="L244" t="str">
        <x:v>고정형</x:v>
      </x:c>
      <x:c r="M244" t="str">
        <x:v>성인 18세 이상</x:v>
      </x:c>
      <x:c r="N244" t="str">
        <x:v>B 공공</x:v>
      </x:c>
      <x:c r="O244" t="str">
        <x:v>예</x:v>
      </x:c>
      <x:c r="P244" t="str">
        <x:v>확정 1차</x:v>
      </x:c>
      <x:c r="Q244" s="51" t="n">
        <x:v>46298</x:v>
      </x:c>
      <x:c r="R244" t="str">
        <x:v>2026-10-03 확인</x:v>
      </x:c>
      <x:c r="S244" t="str">
        <x:v>Shanghai Natural History Museum</x:v>
      </x:c>
      <x:c r="T244" t="str">
        <x:v>https://www.snhm.org.cn/cgfw/cgzx.htm</x:v>
      </x:c>
      <x:c r="U244" s="23" t="str">
        <x:v>박물관 공식 가격표의 성인 입장 30위안.</x:v>
      </x:c>
    </x:row>
    <x:row r="245" ht="36" customHeight="1">
      <x:c r="A245" t="str">
        <x:v>SHA-AT-002</x:v>
      </x:c>
      <x:c r="B245" t="str">
        <x:v>중국</x:v>
      </x:c>
      <x:c r="C245" t="str">
        <x:v>상하이</x:v>
      </x:c>
      <x:c r="D245" t="str">
        <x:v>관광</x:v>
      </x:c>
      <x:c r="E245" t="str">
        <x:v>박물관</x:v>
      </x:c>
      <x:c r="F245" t="str">
        <x:v>상하이 과학기술관 성인 입장권</x:v>
      </x:c>
      <x:c r="G245" t="str">
        <x:v>Shanghai Science and Technology Museum Adult Admission</x:v>
      </x:c>
      <x:c r="H245" s="55" t="n">
        <x:v>45</x:v>
      </x:c>
      <x:c r="I245" s="55" t="n">
        <x:v>45</x:v>
      </x:c>
      <x:c r="J245" t="str">
        <x:v>CNY</x:v>
      </x:c>
      <x:c r="K245" t="str">
        <x:v>성인 1인</x:v>
      </x:c>
      <x:c r="L245" t="str">
        <x:v>고정형</x:v>
      </x:c>
      <x:c r="M245" t="str">
        <x:v>성인</x:v>
      </x:c>
      <x:c r="N245" t="str">
        <x:v>A 공식</x:v>
      </x:c>
      <x:c r="O245" t="str">
        <x:v>예</x:v>
      </x:c>
      <x:c r="P245" t="str">
        <x:v>확정 1차</x:v>
      </x:c>
      <x:c r="Q245" s="51" t="n">
        <x:v>46298</x:v>
      </x:c>
      <x:c r="R245" t="str">
        <x:v>2026-10-03 확인</x:v>
      </x:c>
      <x:c r="S245" t="str">
        <x:v>Shanghai Science and Technology Museum</x:v>
      </x:c>
      <x:c r="T245" t="str">
        <x:v>https://en.sstm.org.cn/tickets/policy</x:v>
      </x:c>
      <x:c r="U245" s="23" t="str">
        <x:v>운영사 공식 입장료표에 성인 45위안.</x:v>
      </x:c>
    </x:row>
    <x:row r="246" ht="36" customHeight="1">
      <x:c r="A246" t="str">
        <x:v>SHA-AT-003</x:v>
      </x:c>
      <x:c r="B246" t="str">
        <x:v>중국</x:v>
      </x:c>
      <x:c r="C246" t="str">
        <x:v>상하이</x:v>
      </x:c>
      <x:c r="D246" t="str">
        <x:v>관광</x:v>
      </x:c>
      <x:c r="E246" t="str">
        <x:v>수족관</x:v>
      </x:c>
      <x:c r="F246" t="str">
        <x:v>상하이 해양수족관 성인 입장권</x:v>
      </x:c>
      <x:c r="G246" t="str">
        <x:v>Shanghai Ocean Aquarium Adult Admission</x:v>
      </x:c>
      <x:c r="H246" s="55" t="n">
        <x:v>160</x:v>
      </x:c>
      <x:c r="I246" s="55" t="n">
        <x:v>160</x:v>
      </x:c>
      <x:c r="J246" t="str">
        <x:v>CNY</x:v>
      </x:c>
      <x:c r="K246" t="str">
        <x:v>성인 1인</x:v>
      </x:c>
      <x:c r="L246" t="str">
        <x:v>고정형</x:v>
      </x:c>
      <x:c r="M246" t="str">
        <x:v>성인</x:v>
      </x:c>
      <x:c r="N246" t="str">
        <x:v>A 공식</x:v>
      </x:c>
      <x:c r="O246" t="str">
        <x:v>예</x:v>
      </x:c>
      <x:c r="P246" t="str">
        <x:v>확정 1차</x:v>
      </x:c>
      <x:c r="Q246" s="51" t="n">
        <x:v>46298</x:v>
      </x:c>
      <x:c r="R246" t="str">
        <x:v>2026-10-03 확인</x:v>
      </x:c>
      <x:c r="S246" t="str">
        <x:v>Shanghai Ocean Aquarium</x:v>
      </x:c>
      <x:c r="T246" t="str">
        <x:v>https://www.sh-aquarium.com/en/FrequentlyAskedQuestions/index.aspx?lcid=55</x:v>
      </x:c>
      <x:c r="U246" s="23" t="str">
        <x:v>운영사 공식 FAQ의 성인 표준 입장료 160위안. 하루 전 온라인 할인 가격은 쓰지 않음.</x:v>
      </x:c>
    </x:row>
    <x:row r="247" ht="36" customHeight="1">
      <x:c r="A247" t="str">
        <x:v>SHA-AT-004</x:v>
      </x:c>
      <x:c r="B247" t="str">
        <x:v>중국</x:v>
      </x:c>
      <x:c r="C247" t="str">
        <x:v>상하이</x:v>
      </x:c>
      <x:c r="D247" t="str">
        <x:v>관광</x:v>
      </x:c>
      <x:c r="E247" t="str">
        <x:v>박물관</x:v>
      </x:c>
      <x:c r="F247" t="str">
        <x:v>상하이 세계박람회박물관 일반 입장</x:v>
      </x:c>
      <x:c r="G247" t="str">
        <x:v>Shanghai World Expo Museum General Admission</x:v>
      </x:c>
      <x:c r="H247" s="55" t="n">
        <x:v>0</x:v>
      </x:c>
      <x:c r="I247" s="55" t="n">
        <x:v>0</x:v>
      </x:c>
      <x:c r="J247" t="str">
        <x:v>CNY</x:v>
      </x:c>
      <x:c r="K247" t="str">
        <x:v>1인</x:v>
      </x:c>
      <x:c r="L247" t="str">
        <x:v>고정형</x:v>
      </x:c>
      <x:c r="M247" t="str">
        <x:v>일반</x:v>
      </x:c>
      <x:c r="N247" t="str">
        <x:v>B 공공</x:v>
      </x:c>
      <x:c r="O247" t="str">
        <x:v>예</x:v>
      </x:c>
      <x:c r="P247" t="str">
        <x:v>확정 1차</x:v>
      </x:c>
      <x:c r="Q247" s="51" t="n">
        <x:v>46298</x:v>
      </x:c>
      <x:c r="R247" t="str">
        <x:v>2026-10-03 확인</x:v>
      </x:c>
      <x:c r="S247" t="str">
        <x:v>World Expo Museum</x:v>
      </x:c>
      <x:c r="T247" t="str">
        <x:v>https://www.expo-museum.cn/sbbwg/n55/n266/n267/index.html</x:v>
      </x:c>
      <x:c r="U247" s="23" t="str">
        <x:v>박물관 공식 안내에 입장료 없음, 입장권은 필요하다고 명시.</x:v>
      </x:c>
    </x:row>
    <x:row r="248" ht="36" customHeight="1">
      <x:c r="A248" t="str">
        <x:v>SHA-AT-005</x:v>
      </x:c>
      <x:c r="B248" t="str">
        <x:v>중국</x:v>
      </x:c>
      <x:c r="C248" t="str">
        <x:v>상하이</x:v>
      </x:c>
      <x:c r="D248" t="str">
        <x:v>관광</x:v>
      </x:c>
      <x:c r="E248" t="str">
        <x:v>천문관</x:v>
      </x:c>
      <x:c r="F248" t="str">
        <x:v>상하이 천문관 성인 입장권</x:v>
      </x:c>
      <x:c r="G248" t="str">
        <x:v>Shanghai Astronomy Museum Adult Admission</x:v>
      </x:c>
      <x:c r="H248" s="55" t="n">
        <x:v>30</x:v>
      </x:c>
      <x:c r="I248" s="55" t="n">
        <x:v>30</x:v>
      </x:c>
      <x:c r="J248" t="str">
        <x:v>CNY</x:v>
      </x:c>
      <x:c r="K248" t="str">
        <x:v>성인 1인</x:v>
      </x:c>
      <x:c r="L248" t="str">
        <x:v>고정형</x:v>
      </x:c>
      <x:c r="M248" t="str">
        <x:v>성인</x:v>
      </x:c>
      <x:c r="N248" t="str">
        <x:v>B 공공</x:v>
      </x:c>
      <x:c r="O248" t="str">
        <x:v>예</x:v>
      </x:c>
      <x:c r="P248" t="str">
        <x:v>확정 1차</x:v>
      </x:c>
      <x:c r="Q248" s="51" t="n">
        <x:v>46298</x:v>
      </x:c>
      <x:c r="R248" t="str">
        <x:v>2026-10-03 확인</x:v>
      </x:c>
      <x:c r="S248" t="str">
        <x:v>Shanghai Municipal People's Government</x:v>
      </x:c>
      <x:c r="T248" t="str">
        <x:v>https://www.shanghai.gov.cn/pudong/index.html</x:v>
      </x:c>
      <x:c r="U248" s="23" t="str">
        <x:v>푸둥구 정부의 2026 시설·운임 안내에 성인 입장 30위안.</x:v>
      </x:c>
    </x:row>
    <x:row r="249" ht="36" customHeight="1">
      <x:c r="A249" t="str">
        <x:v>SHA-AT-006</x:v>
      </x:c>
      <x:c r="B249" t="str">
        <x:v>중국</x:v>
      </x:c>
      <x:c r="C249" t="str">
        <x:v>상하이</x:v>
      </x:c>
      <x:c r="D249" t="str">
        <x:v>관광</x:v>
      </x:c>
      <x:c r="E249" t="str">
        <x:v>박물관</x:v>
      </x:c>
      <x:c r="F249" t="str">
        <x:v>상하이 자연박물관 1.3m 이하 또는 만 6세 이하 무료</x:v>
      </x:c>
      <x:c r="G249" t="str">
        <x:v>Shanghai Natural History Museum Free Admission, Under 1.3 m or Age 6</x:v>
      </x:c>
      <x:c r="H249" s="55" t="n">
        <x:v>0</x:v>
      </x:c>
      <x:c r="I249" s="55" t="n">
        <x:v>0</x:v>
      </x:c>
      <x:c r="J249" t="str">
        <x:v>CNY</x:v>
      </x:c>
      <x:c r="K249" t="str">
        <x:v>아동 1인</x:v>
      </x:c>
      <x:c r="L249" t="str">
        <x:v>일정/대상형</x:v>
      </x:c>
      <x:c r="M249" t="str">
        <x:v>1.3m 이하 또는 만 6세 이하</x:v>
      </x:c>
      <x:c r="N249" t="str">
        <x:v>B 공공</x:v>
      </x:c>
      <x:c r="O249" t="str">
        <x:v>예</x:v>
      </x:c>
      <x:c r="P249" t="str">
        <x:v>확정 1차</x:v>
      </x:c>
      <x:c r="Q249" s="51" t="n">
        <x:v>46298</x:v>
      </x:c>
      <x:c r="R249" t="str">
        <x:v>2026-10-03 확인</x:v>
      </x:c>
      <x:c r="S249" t="str">
        <x:v>Shanghai Natural History Museum</x:v>
      </x:c>
      <x:c r="T249" t="str">
        <x:v>https://www.snhm.org.cn/cgfw/cgzx.htm</x:v>
      </x:c>
      <x:c r="U249" s="23" t="str">
        <x:v>박물관 공식 가격표의 무료 입장 기준.</x:v>
      </x:c>
    </x:row>
    <x:row r="250" ht="36" customHeight="1">
      <x:c r="A250" t="str">
        <x:v>SHA-AT-007</x:v>
      </x:c>
      <x:c r="B250" t="str">
        <x:v>중국</x:v>
      </x:c>
      <x:c r="C250" t="str">
        <x:v>상하이</x:v>
      </x:c>
      <x:c r="D250" t="str">
        <x:v>관광</x:v>
      </x:c>
      <x:c r="E250" t="str">
        <x:v>박물관</x:v>
      </x:c>
      <x:c r="F250" t="str">
        <x:v>상하이 과학기술관 1.3m 미만 어린이 무료</x:v>
      </x:c>
      <x:c r="G250" t="str">
        <x:v>Shanghai Science and Technology Museum Free Admission, Under 1.3 m</x:v>
      </x:c>
      <x:c r="H250" s="55" t="n">
        <x:v>0</x:v>
      </x:c>
      <x:c r="I250" s="55" t="n">
        <x:v>0</x:v>
      </x:c>
      <x:c r="J250" t="str">
        <x:v>CNY</x:v>
      </x:c>
      <x:c r="K250" t="str">
        <x:v>아동 1인</x:v>
      </x:c>
      <x:c r="L250" t="str">
        <x:v>일정/대상형</x:v>
      </x:c>
      <x:c r="M250" t="str">
        <x:v>1.3m 미만</x:v>
      </x:c>
      <x:c r="N250" t="str">
        <x:v>A 공식</x:v>
      </x:c>
      <x:c r="O250" t="str">
        <x:v>예</x:v>
      </x:c>
      <x:c r="P250" t="str">
        <x:v>확정 1차</x:v>
      </x:c>
      <x:c r="Q250" s="51" t="n">
        <x:v>46298</x:v>
      </x:c>
      <x:c r="R250" t="str">
        <x:v>2026-10-03 확인</x:v>
      </x:c>
      <x:c r="S250" t="str">
        <x:v>Shanghai Science and Technology Museum</x:v>
      </x:c>
      <x:c r="T250" t="str">
        <x:v>https://en.sstm.org.cn/tickets/policy</x:v>
      </x:c>
      <x:c r="U250" s="23" t="str">
        <x:v>운영사 공식 가격표에서 1.3m 미만 무료 입장.</x:v>
      </x:c>
    </x:row>
    <x:row r="251" ht="36" customHeight="1">
      <x:c r="A251" t="str">
        <x:v>SHA-AT-008</x:v>
      </x:c>
      <x:c r="B251" t="str">
        <x:v>중국</x:v>
      </x:c>
      <x:c r="C251" t="str">
        <x:v>상하이</x:v>
      </x:c>
      <x:c r="D251" t="str">
        <x:v>관광</x:v>
      </x:c>
      <x:c r="E251" t="str">
        <x:v>수족관</x:v>
      </x:c>
      <x:c r="F251" t="str">
        <x:v>상하이 해양수족관 아동 입장권</x:v>
      </x:c>
      <x:c r="G251" t="str">
        <x:v>Shanghai Ocean Aquarium Child Admission</x:v>
      </x:c>
      <x:c r="H251" s="55" t="n">
        <x:v>110</x:v>
      </x:c>
      <x:c r="I251" s="55" t="n">
        <x:v>110</x:v>
      </x:c>
      <x:c r="J251" t="str">
        <x:v>CNY</x:v>
      </x:c>
      <x:c r="K251" t="str">
        <x:v>아동 1인</x:v>
      </x:c>
      <x:c r="L251" t="str">
        <x:v>고정형</x:v>
      </x:c>
      <x:c r="M251" t="str">
        <x:v>1.0~1.4m 또는 만 10세 미만</x:v>
      </x:c>
      <x:c r="N251" t="str">
        <x:v>A 공식</x:v>
      </x:c>
      <x:c r="O251" t="str">
        <x:v>예</x:v>
      </x:c>
      <x:c r="P251" t="str">
        <x:v>확정 1차</x:v>
      </x:c>
      <x:c r="Q251" s="51" t="n">
        <x:v>46298</x:v>
      </x:c>
      <x:c r="R251" t="str">
        <x:v>2026-10-03 확인</x:v>
      </x:c>
      <x:c r="S251" t="str">
        <x:v>Shanghai Ocean Aquarium</x:v>
      </x:c>
      <x:c r="T251" t="str">
        <x:v>https://www.sh-aquarium.com/en/FrequentlyAskedQuestions/index.aspx?lcid=55</x:v>
      </x:c>
      <x:c r="U251" s="23" t="str">
        <x:v>운영사 공식 FAQ의 아동 표준권 110위안. 1m 미만 또는 만 4세 미만은 무료.</x:v>
      </x:c>
    </x:row>
    <x:row r="252" ht="36" customHeight="1">
      <x:c r="A252" t="str">
        <x:v>SHA-AT-009</x:v>
      </x:c>
      <x:c r="B252" t="str">
        <x:v>중국</x:v>
      </x:c>
      <x:c r="C252" t="str">
        <x:v>상하이</x:v>
      </x:c>
      <x:c r="D252" t="str">
        <x:v>관광</x:v>
      </x:c>
      <x:c r="E252" t="str">
        <x:v>천문관</x:v>
      </x:c>
      <x:c r="F252" t="str">
        <x:v>상하이 천문관 1.3m 이하 또는 만 6세 이하 무료</x:v>
      </x:c>
      <x:c r="G252" t="str">
        <x:v>Shanghai Astronomy Museum Free Admission, Under 1.3 m or Age 6</x:v>
      </x:c>
      <x:c r="H252" s="55" t="n">
        <x:v>0</x:v>
      </x:c>
      <x:c r="I252" s="55" t="n">
        <x:v>0</x:v>
      </x:c>
      <x:c r="J252" t="str">
        <x:v>CNY</x:v>
      </x:c>
      <x:c r="K252" t="str">
        <x:v>아동 1인</x:v>
      </x:c>
      <x:c r="L252" t="str">
        <x:v>일정/대상형</x:v>
      </x:c>
      <x:c r="M252" t="str">
        <x:v>1.3m 이하 또는 만 6세 이하</x:v>
      </x:c>
      <x:c r="N252" t="str">
        <x:v>B 공공</x:v>
      </x:c>
      <x:c r="O252" t="str">
        <x:v>예</x:v>
      </x:c>
      <x:c r="P252" t="str">
        <x:v>확정 1차</x:v>
      </x:c>
      <x:c r="Q252" s="51" t="n">
        <x:v>46298</x:v>
      </x:c>
      <x:c r="R252" t="str">
        <x:v>2026-10-03 확인</x:v>
      </x:c>
      <x:c r="S252" t="str">
        <x:v>Shanghai Municipal People's Government</x:v>
      </x:c>
      <x:c r="T252" t="str">
        <x:v>https://www.shanghai.gov.cn/pudong/index.html</x:v>
      </x:c>
      <x:c r="U252" s="23" t="str">
        <x:v>푸둥구 정부의 공식 안내에 무료 입장 대상과 조건이 기재됨.</x:v>
      </x:c>
    </x:row>
  </x:sheetData>
  <x:mergeCells>
    <x:mergeCell ref="A1:U1"/>
    <x:mergeCell ref="A2:U2"/>
  </x:mergeCells>
  <x:conditionalFormatting sqref="P5:P138">
    <x:cfRule type="containsText" dxfId="0" priority="1" operator="containsText" text="확정"/>
    <x:cfRule type="containsText" dxfId="1" priority="2" operator="containsText" text="재검증"/>
    <x:cfRule type="containsText" dxfId="2" priority="3" operator="containsText" text="보류"/>
  </x:conditionalFormatting>
  <x:pageMargins left="0.7" right="0.7" top="0.75" bottom="0.75" header="0.3" footer="0.3"/>
  <x:tableParts count="1">
    <x:tablePart xmlns:r="http://schemas.openxmlformats.org/officeDocument/2006/relationships" r:id="Rc0dbf69bfc86406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0" hidden="0" customWidth="1"/>
    <x:col min="4" max="4" width="24" hidden="0" customWidth="1"/>
    <x:col min="5" max="5" width="34" hidden="0" customWidth="1"/>
    <x:col min="6" max="6" width="10" hidden="0" customWidth="1"/>
    <x:col min="7" max="7" width="16" hidden="0" customWidth="1"/>
    <x:col min="8" max="8" width="13" hidden="0" customWidth="1"/>
    <x:col min="9" max="9" width="22" hidden="0" customWidth="1"/>
    <x:col min="10" max="10" width="48" hidden="0" customWidth="1"/>
    <x:col min="11" max="11" width="36" hidden="0" customWidth="1"/>
  </x:cols>
  <x:sheetData>
    <x:row r="1" ht="34" customHeight="1">
      <x:c r="A1" s="3" t="str">
        <x:v>대표 음식 추천 근거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0" customHeight="1">
      <x:c r="A2" s="6" t="str">
        <x:v>관광청·도시 공식 가이드는 ‘무엇을 추천할지’를 정하는 근거로만 사용한다. 가격은 가격 표본 원장의 개별 메뉴 관측치와 연결한다.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 ht="34" customHeight="1">
      <x:c r="A4" s="12" t="str">
        <x:v>국가</x:v>
      </x:c>
      <x:c r="B4" s="12" t="str">
        <x:v>도시</x:v>
      </x:c>
      <x:c r="C4" s="12" t="str">
        <x:v>음식(한글)</x:v>
      </x:c>
      <x:c r="D4" s="12" t="str">
        <x:v>Food</x:v>
      </x:c>
      <x:c r="E4" s="12" t="str">
        <x:v>추천 이유</x:v>
      </x:c>
      <x:c r="F4" s="12" t="str">
        <x:v>예산대</x:v>
      </x:c>
      <x:c r="G4" s="12" t="str">
        <x:v>연결 가격 ID</x:v>
      </x:c>
      <x:c r="H4" s="12" t="str">
        <x:v>가격조사 상태</x:v>
      </x:c>
      <x:c r="I4" s="12" t="str">
        <x:v>추천 출처</x:v>
      </x:c>
      <x:c r="J4" s="12" t="str">
        <x:v>출처 URL</x:v>
      </x:c>
      <x:c r="K4" s="12" t="str">
        <x:v>비고</x:v>
      </x:c>
    </x:row>
    <x:row r="5" ht="36" customHeight="1">
      <x:c r="A5" s="32" t="str">
        <x:v>일본</x:v>
      </x:c>
      <x:c r="B5" s="32" t="str">
        <x:v>도쿄</x:v>
      </x:c>
      <x:c r="C5" s="32" t="str">
        <x:v>에도마에 스시</x:v>
      </x:c>
      <x:c r="D5" s="32" t="str">
        <x:v>Edomae Sushi</x:v>
      </x:c>
      <x:c r="E5" s="21" t="str">
        <x:v>도쿄를 대표하는 전통 스시</x:v>
      </x:c>
      <x:c r="F5" s="44" t="str">
        <x:v>중~고</x:v>
      </x:c>
      <x:c r="G5" s="44" t="str"/>
      <x:c r="H5" s="44" t="str">
        <x:v>대기</x:v>
      </x:c>
      <x:c r="I5" s="21" t="str">
        <x:v>GO TOKYO</x:v>
      </x:c>
      <x:c r="J5" s="42" t="str">
        <x:v>https://www.gotokyo.org/en/see-and-do/drinking-and-dining/tokyo-local-food/index.html</x:v>
      </x:c>
      <x:c r="K5" s="21" t="str">
        <x:v>저가 회전초밥·중가·오마카세를 분리 조사</x:v>
      </x:c>
    </x:row>
    <x:row r="6" ht="36" customHeight="1">
      <x:c r="A6" s="33" t="str">
        <x:v>일본</x:v>
      </x:c>
      <x:c r="B6" s="33" t="str">
        <x:v>도쿄</x:v>
      </x:c>
      <x:c r="C6" s="33" t="str">
        <x:v>소바</x:v>
      </x:c>
      <x:c r="D6" s="33" t="str">
        <x:v>Soba</x:v>
      </x:c>
      <x:c r="E6" s="22" t="str">
        <x:v>에도 시기부터 이어진 대중 음식</x:v>
      </x:c>
      <x:c r="F6" s="45" t="str">
        <x:v>저~중</x:v>
      </x:c>
      <x:c r="G6" s="45" t="str"/>
      <x:c r="H6" s="45" t="str">
        <x:v>대기</x:v>
      </x:c>
      <x:c r="I6" s="22" t="str">
        <x:v>GO TOKYO</x:v>
      </x:c>
      <x:c r="J6" s="43" t="str">
        <x:v>https://www.gotokyo.org/en/see-and-do/drinking-and-dining/tokyo-local-food/index.html</x:v>
      </x:c>
      <x:c r="K6" s="22" t="str">
        <x:v>현지 체인 3개 표본 필요</x:v>
      </x:c>
    </x:row>
    <x:row r="7" ht="36" customHeight="1">
      <x:c r="A7" s="32" t="str">
        <x:v>일본</x:v>
      </x:c>
      <x:c r="B7" s="32" t="str">
        <x:v>도쿄</x:v>
      </x:c>
      <x:c r="C7" s="32" t="str">
        <x:v>덴푸라</x:v>
      </x:c>
      <x:c r="D7" s="32" t="str">
        <x:v>Tempura</x:v>
      </x:c>
      <x:c r="E7" s="21" t="str">
        <x:v>도쿄 길거리 음식 역사와 연결</x:v>
      </x:c>
      <x:c r="F7" s="44" t="str">
        <x:v>중</x:v>
      </x:c>
      <x:c r="G7" s="44" t="str">
        <x:v>TYO-FD-002</x:v>
      </x:c>
      <x:c r="H7" s="44" t="str">
        <x:v>진행</x:v>
      </x:c>
      <x:c r="I7" s="21" t="str">
        <x:v>GO TOKYO</x:v>
      </x:c>
      <x:c r="J7" s="42" t="str">
        <x:v>https://www.gotokyo.org/en/see-and-do/drinking-and-dining/tokyo-local-food/index.html</x:v>
      </x:c>
      <x:c r="K7" s="21" t="str">
        <x:v>관광지 식당 표본 확보</x:v>
      </x:c>
    </x:row>
    <x:row r="8" ht="36" customHeight="1">
      <x:c r="A8" s="33" t="str">
        <x:v>일본</x:v>
      </x:c>
      <x:c r="B8" s="33" t="str">
        <x:v>도쿄</x:v>
      </x:c>
      <x:c r="C8" s="33" t="str">
        <x:v>라멘</x:v>
      </x:c>
      <x:c r="D8" s="33" t="str">
        <x:v>Ramen</x:v>
      </x:c>
      <x:c r="E8" s="22" t="str">
        <x:v>세계적으로 알려진 도쿄 식사 옵션</x:v>
      </x:c>
      <x:c r="F8" s="45" t="str">
        <x:v>저~중</x:v>
      </x:c>
      <x:c r="G8" s="45" t="str"/>
      <x:c r="H8" s="45" t="str">
        <x:v>대기</x:v>
      </x:c>
      <x:c r="I8" s="22" t="str">
        <x:v>GO TOKYO</x:v>
      </x:c>
      <x:c r="J8" s="43" t="str">
        <x:v>https://www.gotokyo.org/en/see-and-do/drinking-and-dining/tokyo-local-food/index.html</x:v>
      </x:c>
      <x:c r="K8" s="22" t="str">
        <x:v>체인/개인점 분리</x:v>
      </x:c>
    </x:row>
    <x:row r="9" ht="36" customHeight="1">
      <x:c r="A9" s="32" t="str">
        <x:v>일본</x:v>
      </x:c>
      <x:c r="B9" s="32" t="str">
        <x:v>도쿄</x:v>
      </x:c>
      <x:c r="C9" s="32" t="str">
        <x:v>규동</x:v>
      </x:c>
      <x:c r="D9" s="32" t="str">
        <x:v>Gyudon</x:v>
      </x:c>
      <x:c r="E9" s="21" t="str">
        <x:v>빠르고 저렴한 현지 한 끼 기준점</x:v>
      </x:c>
      <x:c r="F9" s="44" t="str">
        <x:v>저</x:v>
      </x:c>
      <x:c r="G9" s="44" t="str">
        <x:v>TYO-FD-001</x:v>
      </x:c>
      <x:c r="H9" s="44" t="str">
        <x:v>확보</x:v>
      </x:c>
      <x:c r="I9" s="21" t="str">
        <x:v>Sukiya</x:v>
      </x:c>
      <x:c r="J9" s="42" t="str">
        <x:v>https://www.sukiya.jp/en/</x:v>
      </x:c>
      <x:c r="K9" s="21" t="str">
        <x:v>가격 기준 메뉴로 사용</x:v>
      </x:c>
    </x:row>
    <x:row r="10" ht="36" customHeight="1">
      <x:c r="A10" s="33" t="str">
        <x:v>일본</x:v>
      </x:c>
      <x:c r="B10" s="33" t="str">
        <x:v>오사카</x:v>
      </x:c>
      <x:c r="C10" s="33" t="str">
        <x:v>타코야키</x:v>
      </x:c>
      <x:c r="D10" s="33" t="str">
        <x:v>Takoyaki</x:v>
      </x:c>
      <x:c r="E10" s="22" t="str">
        <x:v>오사카 대표 길거리 음식</x:v>
      </x:c>
      <x:c r="F10" s="45" t="str">
        <x:v>저</x:v>
      </x:c>
      <x:c r="G10" s="45" t="str">
        <x:v>OSA-FD-001</x:v>
      </x:c>
      <x:c r="H10" s="45" t="str">
        <x:v>재검증</x:v>
      </x:c>
      <x:c r="I10" s="22" t="str">
        <x:v>OSAKA INFO</x:v>
      </x:c>
      <x:c r="J10" s="43" t="str">
        <x:v>https://www.osaka-info.jp/en/gourmet/osaka_cuisine/</x:v>
      </x:c>
      <x:c r="K10" s="22" t="str">
        <x:v>공식 메뉴 URL 보강</x:v>
      </x:c>
    </x:row>
    <x:row r="11" ht="36" customHeight="1">
      <x:c r="A11" s="32" t="str">
        <x:v>일본</x:v>
      </x:c>
      <x:c r="B11" s="32" t="str">
        <x:v>오사카</x:v>
      </x:c>
      <x:c r="C11" s="32" t="str">
        <x:v>오코노미야키</x:v>
      </x:c>
      <x:c r="D11" s="32" t="str">
        <x:v>Okonomiyaki</x:v>
      </x:c>
      <x:c r="E11" s="21" t="str">
        <x:v>오사카 소울푸드</x:v>
      </x:c>
      <x:c r="F11" s="44" t="str">
        <x:v>저~중</x:v>
      </x:c>
      <x:c r="G11" s="44" t="str"/>
      <x:c r="H11" s="44" t="str">
        <x:v>대기</x:v>
      </x:c>
      <x:c r="I11" s="21" t="str">
        <x:v>OSAKA INFO</x:v>
      </x:c>
      <x:c r="J11" s="42" t="str">
        <x:v>https://www.osaka-info.jp/en/gourmet/osaka_cuisine/</x:v>
      </x:c>
      <x:c r="K11" s="21" t="str">
        <x:v>2개 전문점 메뉴 수집</x:v>
      </x:c>
    </x:row>
    <x:row r="12" ht="36" customHeight="1">
      <x:c r="A12" s="33" t="str">
        <x:v>일본</x:v>
      </x:c>
      <x:c r="B12" s="33" t="str">
        <x:v>오사카</x:v>
      </x:c>
      <x:c r="C12" s="33" t="str">
        <x:v>쿠시카츠</x:v>
      </x:c>
      <x:c r="D12" s="33" t="str">
        <x:v>Kushikatsu</x:v>
      </x:c>
      <x:c r="E12" s="22" t="str">
        <x:v>오사카식 꼬치튀김</x:v>
      </x:c>
      <x:c r="F12" s="45" t="str">
        <x:v>저~중</x:v>
      </x:c>
      <x:c r="G12" s="45" t="str"/>
      <x:c r="H12" s="45" t="str">
        <x:v>대기</x:v>
      </x:c>
      <x:c r="I12" s="22" t="str">
        <x:v>OSAKA INFO</x:v>
      </x:c>
      <x:c r="J12" s="43" t="str">
        <x:v>https://www.osaka-info.jp/en/gourmet/osaka_cuisine/</x:v>
      </x:c>
      <x:c r="K12" s="22" t="str">
        <x:v>1개 가격 대신 세트/인당액 수집</x:v>
      </x:c>
    </x:row>
    <x:row r="13" ht="36" customHeight="1">
      <x:c r="A13" s="32" t="str">
        <x:v>일본</x:v>
      </x:c>
      <x:c r="B13" s="32" t="str">
        <x:v>오사카</x:v>
      </x:c>
      <x:c r="C13" s="32" t="str">
        <x:v>우동스키</x:v>
      </x:c>
      <x:c r="D13" s="32" t="str">
        <x:v>Udon Suki</x:v>
      </x:c>
      <x:c r="E13" s="21" t="str">
        <x:v>오사카 다시 문화를 보여주는 음식</x:v>
      </x:c>
      <x:c r="F13" s="44" t="str">
        <x:v>중</x:v>
      </x:c>
      <x:c r="G13" s="44" t="str"/>
      <x:c r="H13" s="44" t="str">
        <x:v>대기</x:v>
      </x:c>
      <x:c r="I13" s="21" t="str">
        <x:v>OSAKA INFO</x:v>
      </x:c>
      <x:c r="J13" s="42" t="str">
        <x:v>https://www.osaka-info.jp/en/gourmet/osaka_cuisine/</x:v>
      </x:c>
      <x:c r="K13" s="21" t="str">
        <x:v>계절 메뉴 여부 확인</x:v>
      </x:c>
    </x:row>
    <x:row r="14" ht="36" customHeight="1">
      <x:c r="A14" s="33" t="str">
        <x:v>일본</x:v>
      </x:c>
      <x:c r="B14" s="33" t="str">
        <x:v>오사카</x:v>
      </x:c>
      <x:c r="C14" s="33" t="str">
        <x:v>니쿠만</x:v>
      </x:c>
      <x:c r="D14" s="33" t="str">
        <x:v>Pork Bun</x:v>
      </x:c>
      <x:c r="E14" s="22" t="str">
        <x:v>오사카 유명 간식·선물</x:v>
      </x:c>
      <x:c r="F14" s="45" t="str">
        <x:v>저</x:v>
      </x:c>
      <x:c r="G14" s="45" t="str">
        <x:v>OSA-SV-001</x:v>
      </x:c>
      <x:c r="H14" s="45" t="str">
        <x:v>확보</x:v>
      </x:c>
      <x:c r="I14" s="22" t="str">
        <x:v>551 HORAI</x:v>
      </x:c>
      <x:c r="J14" s="43" t="str">
        <x:v>https://www.551horai.co.jp/menu/butaman/</x:v>
      </x:c>
      <x:c r="K14" s="22" t="str">
        <x:v>식사와 기념품 양쪽 후보</x:v>
      </x:c>
    </x:row>
    <x:row r="15" ht="36" customHeight="1">
      <x:c r="A15" s="32" t="str">
        <x:v>태국</x:v>
      </x:c>
      <x:c r="B15" s="32" t="str">
        <x:v>방콕</x:v>
      </x:c>
      <x:c r="C15" s="32" t="str">
        <x:v>팟타이</x:v>
      </x:c>
      <x:c r="D15" s="32" t="str">
        <x:v>Pad Thai</x:v>
      </x:c>
      <x:c r="E15" s="21" t="str">
        <x:v>태국 대표 볶음면</x:v>
      </x:c>
      <x:c r="F15" s="44" t="str">
        <x:v>저~중</x:v>
      </x:c>
      <x:c r="G15" s="44" t="str">
        <x:v>BKK-FD-003</x:v>
      </x:c>
      <x:c r="H15" s="44" t="str">
        <x:v>확보</x:v>
      </x:c>
      <x:c r="I15" s="21" t="str">
        <x:v>Tourism Authority of Thailand</x:v>
      </x:c>
      <x:c r="J15" s="42" t="str">
        <x:v>https://www.tourismthailand.org/Articles/10-thai-dishes-you-must-try</x:v>
      </x:c>
      <x:c r="K15" s="21" t="str">
        <x:v>저가 전문점 표본 추가</x:v>
      </x:c>
    </x:row>
    <x:row r="16" ht="36" customHeight="1">
      <x:c r="A16" s="33" t="str">
        <x:v>태국</x:v>
      </x:c>
      <x:c r="B16" s="33" t="str">
        <x:v>방콕</x:v>
      </x:c>
      <x:c r="C16" s="33" t="str">
        <x:v>똠얌꿍</x:v>
      </x:c>
      <x:c r="D16" s="33" t="str">
        <x:v>Tom Yum Goong</x:v>
      </x:c>
      <x:c r="E16" s="22" t="str">
        <x:v>태국 대표 새우 수프</x:v>
      </x:c>
      <x:c r="F16" s="45" t="str">
        <x:v>중</x:v>
      </x:c>
      <x:c r="G16" s="45" t="str"/>
      <x:c r="H16" s="45" t="str">
        <x:v>대기</x:v>
      </x:c>
      <x:c r="I16" s="22" t="str">
        <x:v>Tourism Authority of Thailand</x:v>
      </x:c>
      <x:c r="J16" s="43" t="str">
        <x:v>https://www.tourismthailand.org/Articles/10-thai-dishes-you-must-try</x:v>
      </x:c>
      <x:c r="K16" s="22" t="str">
        <x:v>해산물 크기에 따른 변동 조사</x:v>
      </x:c>
    </x:row>
    <x:row r="17" ht="36" customHeight="1">
      <x:c r="A17" s="32" t="str">
        <x:v>태국</x:v>
      </x:c>
      <x:c r="B17" s="32" t="str">
        <x:v>방콕</x:v>
      </x:c>
      <x:c r="C17" s="32" t="str">
        <x:v>쏨땀</x:v>
      </x:c>
      <x:c r="D17" s="32" t="str">
        <x:v>Som Tum</x:v>
      </x:c>
      <x:c r="E17" s="21" t="str">
        <x:v>대표 매운 파파야 샐러드</x:v>
      </x:c>
      <x:c r="F17" s="44" t="str">
        <x:v>저</x:v>
      </x:c>
      <x:c r="G17" s="44" t="str"/>
      <x:c r="H17" s="44" t="str">
        <x:v>대기</x:v>
      </x:c>
      <x:c r="I17" s="21" t="str">
        <x:v>Tourism Authority of Thailand</x:v>
      </x:c>
      <x:c r="J17" s="42" t="str">
        <x:v>https://www.tourismthailand.org/Articles/10-thai-dishes-you-must-try</x:v>
      </x:c>
      <x:c r="K17" s="21" t="str">
        <x:v>시장/식당 가격 분리</x:v>
      </x:c>
    </x:row>
    <x:row r="18" ht="36" customHeight="1">
      <x:c r="A18" s="33" t="str">
        <x:v>태국</x:v>
      </x:c>
      <x:c r="B18" s="33" t="str">
        <x:v>방콕</x:v>
      </x:c>
      <x:c r="C18" s="33" t="str">
        <x:v>카오팟</x:v>
      </x:c>
      <x:c r="D18" s="33" t="str">
        <x:v>Khao Pad</x:v>
      </x:c>
      <x:c r="E18" s="22" t="str">
        <x:v>현지 대중 식사 기준점</x:v>
      </x:c>
      <x:c r="F18" s="45" t="str">
        <x:v>저</x:v>
      </x:c>
      <x:c r="G18" s="45" t="str">
        <x:v>BKK-FD-001</x:v>
      </x:c>
      <x:c r="H18" s="45" t="str">
        <x:v>확보</x:v>
      </x:c>
      <x:c r="I18" s="22" t="str">
        <x:v>Bully's Bangkok</x:v>
      </x:c>
      <x:c r="J18" s="43" t="str">
        <x:v>https://bullys-bangkok.com/menu/thaidishes/</x:v>
      </x:c>
      <x:c r="K18" s="22" t="str">
        <x:v>재료별 범위 확보</x:v>
      </x:c>
    </x:row>
    <x:row r="19" ht="36" customHeight="1">
      <x:c r="A19" s="32" t="str">
        <x:v>태국</x:v>
      </x:c>
      <x:c r="B19" s="32" t="str">
        <x:v>방콕</x:v>
      </x:c>
      <x:c r="C19" s="32" t="str">
        <x:v>망고 찹쌀밥</x:v>
      </x:c>
      <x:c r="D19" s="32" t="str">
        <x:v>Mango Sticky Rice</x:v>
      </x:c>
      <x:c r="E19" s="21" t="str">
        <x:v>인기 태국 디저트</x:v>
      </x:c>
      <x:c r="F19" s="44" t="str">
        <x:v>저</x:v>
      </x:c>
      <x:c r="G19" s="44" t="str"/>
      <x:c r="H19" s="44" t="str">
        <x:v>대기</x:v>
      </x:c>
      <x:c r="I19" s="21" t="str">
        <x:v>Tourism Authority of Thailand</x:v>
      </x:c>
      <x:c r="J19" s="42" t="str">
        <x:v>https://www.tourismthailand.org/</x:v>
      </x:c>
      <x:c r="K19" s="21" t="str">
        <x:v>망고 계절성 확인</x:v>
      </x:c>
    </x:row>
    <x:row r="20" ht="36" customHeight="1">
      <x:c r="A20" s="33" t="str">
        <x:v>베트남</x:v>
      </x:c>
      <x:c r="B20" s="33" t="str">
        <x:v>다낭</x:v>
      </x:c>
      <x:c r="C20" s="33" t="str">
        <x:v>미꽝</x:v>
      </x:c>
      <x:c r="D20" s="33" t="str">
        <x:v>Mi Quang</x:v>
      </x:c>
      <x:c r="E20" s="22" t="str">
        <x:v>다낭·꽝남 대표 면요리</x:v>
      </x:c>
      <x:c r="F20" s="45" t="str">
        <x:v>저</x:v>
      </x:c>
      <x:c r="G20" s="45" t="str">
        <x:v>DAD-FD-001</x:v>
      </x:c>
      <x:c r="H20" s="45" t="str">
        <x:v>확보</x:v>
      </x:c>
      <x:c r="I20" s="22" t="str">
        <x:v>Vietnam Tourism</x:v>
      </x:c>
      <x:c r="J20" s="43" t="str">
        <x:v>https://www.vietnamtourism.com/en/da-nang-food-scene-what-and-where-to-eat</x:v>
      </x:c>
      <x:c r="K20" s="22" t="str">
        <x:v>길거리와 전문점 범위 확보</x:v>
      </x:c>
    </x:row>
    <x:row r="21" ht="36" customHeight="1">
      <x:c r="A21" s="32" t="str">
        <x:v>베트남</x:v>
      </x:c>
      <x:c r="B21" s="32" t="str">
        <x:v>다낭</x:v>
      </x:c>
      <x:c r="C21" s="32" t="str">
        <x:v>반쎄오</x:v>
      </x:c>
      <x:c r="D21" s="32" t="str">
        <x:v>Banh Xeo</x:v>
      </x:c>
      <x:c r="E21" s="21" t="str">
        <x:v>중부 베트남식 부침 요리</x:v>
      </x:c>
      <x:c r="F21" s="44" t="str">
        <x:v>저</x:v>
      </x:c>
      <x:c r="G21" s="44" t="str"/>
      <x:c r="H21" s="44" t="str">
        <x:v>대기</x:v>
      </x:c>
      <x:c r="I21" s="21" t="str">
        <x:v>Vietnam Tourism</x:v>
      </x:c>
      <x:c r="J21" s="42" t="str">
        <x:v>https://www.vietnamtourism.com/en/da-nang-food-scene-what-and-where-to-eat</x:v>
      </x:c>
      <x:c r="K21" s="21" t="str">
        <x:v>1인분 단위 통일 필요</x:v>
      </x:c>
    </x:row>
    <x:row r="22" ht="36" customHeight="1">
      <x:c r="A22" s="33" t="str">
        <x:v>베트남</x:v>
      </x:c>
      <x:c r="B22" s="33" t="str">
        <x:v>다낭</x:v>
      </x:c>
      <x:c r="C22" s="33" t="str">
        <x:v>분짜까</x:v>
      </x:c>
      <x:c r="D22" s="33" t="str">
        <x:v>Bun Cha Ca</x:v>
      </x:c>
      <x:c r="E22" s="22" t="str">
        <x:v>어묵 국수·아침 메뉴</x:v>
      </x:c>
      <x:c r="F22" s="45" t="str">
        <x:v>저</x:v>
      </x:c>
      <x:c r="G22" s="45" t="str"/>
      <x:c r="H22" s="45" t="str">
        <x:v>대기</x:v>
      </x:c>
      <x:c r="I22" s="22" t="str">
        <x:v>Vietnam Tourism</x:v>
      </x:c>
      <x:c r="J22" s="43" t="str">
        <x:v>https://www.vietnamtourism.com/en/da-nang-food-scene-what-and-where-to-eat</x:v>
      </x:c>
      <x:c r="K22" s="22" t="str">
        <x:v>아침 영업점 조사</x:v>
      </x:c>
    </x:row>
    <x:row r="23" ht="36" customHeight="1">
      <x:c r="A23" s="32" t="str">
        <x:v>베트남</x:v>
      </x:c>
      <x:c r="B23" s="32" t="str">
        <x:v>다낭</x:v>
      </x:c>
      <x:c r="C23" s="32" t="str">
        <x:v>해산물</x:v>
      </x:c>
      <x:c r="D23" s="32" t="str">
        <x:v>Seafood</x:v>
      </x:c>
      <x:c r="E23" s="21" t="str">
        <x:v>해안 도시 대표 식사</x:v>
      </x:c>
      <x:c r="F23" s="44" t="str">
        <x:v>중~고</x:v>
      </x:c>
      <x:c r="G23" s="44" t="str"/>
      <x:c r="H23" s="44" t="str">
        <x:v>대기</x:v>
      </x:c>
      <x:c r="I23" s="21" t="str">
        <x:v>Vietnam Tourism</x:v>
      </x:c>
      <x:c r="J23" s="42" t="str">
        <x:v>https://www.vietnamtourism.com/en/da-nang-food-scene-what-and-where-to-eat</x:v>
      </x:c>
      <x:c r="K23" s="21" t="str">
        <x:v>kg 가격·2인 식사 총액 분리</x:v>
      </x:c>
    </x:row>
    <x:row r="24" ht="36" customHeight="1">
      <x:c r="A24" s="33" t="str">
        <x:v>베트남</x:v>
      </x:c>
      <x:c r="B24" s="33" t="str">
        <x:v>다낭</x:v>
      </x:c>
      <x:c r="C24" s="33" t="str">
        <x:v>반미</x:v>
      </x:c>
      <x:c r="D24" s="33" t="str">
        <x:v>Banh Mi</x:v>
      </x:c>
      <x:c r="E24" s="22" t="str">
        <x:v>휴대하기 쉬운 저가 한 끼</x:v>
      </x:c>
      <x:c r="F24" s="45" t="str">
        <x:v>저</x:v>
      </x:c>
      <x:c r="G24" s="45" t="str"/>
      <x:c r="H24" s="45" t="str">
        <x:v>대기</x:v>
      </x:c>
      <x:c r="I24" s="22" t="str">
        <x:v>Vietnam Tourism</x:v>
      </x:c>
      <x:c r="J24" s="43" t="str">
        <x:v>https://www.vietnamtourism.com/en/da-nang-food-scene-what-and-where-to-eat</x:v>
      </x:c>
      <x:c r="K24" s="22" t="str">
        <x:v>관광지/현지 매장 분리</x:v>
      </x:c>
    </x:row>
    <x:row r="25" ht="36" customHeight="1">
      <x:c r="A25" s="32" t="str">
        <x:v>대만</x:v>
      </x:c>
      <x:c r="B25" s="32" t="str">
        <x:v>타이베이</x:v>
      </x:c>
      <x:c r="C25" s="32" t="str">
        <x:v>샤오롱바오</x:v>
      </x:c>
      <x:c r="D25" s="32" t="str">
        <x:v>XiaoLongBao</x:v>
      </x:c>
      <x:c r="E25" s="21" t="str">
        <x:v>타이베이 대표 만두</x:v>
      </x:c>
      <x:c r="F25" s="44" t="str">
        <x:v>중</x:v>
      </x:c>
      <x:c r="G25" s="44" t="str">
        <x:v>TPE-FD-001</x:v>
      </x:c>
      <x:c r="H25" s="44" t="str">
        <x:v>재검증</x:v>
      </x:c>
      <x:c r="I25" s="21" t="str">
        <x:v>Taipei Travel</x:v>
      </x:c>
      <x:c r="J25" s="42" t="str">
        <x:v>https://www.travel.taipei/en/must-visit/eat</x:v>
      </x:c>
      <x:c r="K25" s="21" t="str">
        <x:v>공식 매장가 보강</x:v>
      </x:c>
    </x:row>
    <x:row r="26" ht="36" customHeight="1">
      <x:c r="A26" s="33" t="str">
        <x:v>대만</x:v>
      </x:c>
      <x:c r="B26" s="33" t="str">
        <x:v>타이베이</x:v>
      </x:c>
      <x:c r="C26" s="33" t="str">
        <x:v>우육면</x:v>
      </x:c>
      <x:c r="D26" s="33" t="str">
        <x:v>Beef Noodle Soup</x:v>
      </x:c>
      <x:c r="E26" s="22" t="str">
        <x:v>타이베이 대표 면요리</x:v>
      </x:c>
      <x:c r="F26" s="45" t="str">
        <x:v>저~중</x:v>
      </x:c>
      <x:c r="G26" s="45" t="str">
        <x:v>TPE-FD-002</x:v>
      </x:c>
      <x:c r="H26" s="45" t="str">
        <x:v>재검증</x:v>
      </x:c>
      <x:c r="I26" s="22" t="str">
        <x:v>Taipei Travel</x:v>
      </x:c>
      <x:c r="J26" s="43" t="str">
        <x:v>https://www.travel.taipei/en/must-visit/eat</x:v>
      </x:c>
      <x:c r="K26" s="22" t="str">
        <x:v>고기 포함 일반 메뉴 표본 필요</x:v>
      </x:c>
    </x:row>
    <x:row r="27" ht="36" customHeight="1">
      <x:c r="A27" s="32" t="str">
        <x:v>대만</x:v>
      </x:c>
      <x:c r="B27" s="32" t="str">
        <x:v>타이베이</x:v>
      </x:c>
      <x:c r="C27" s="32" t="str">
        <x:v>망고빙수</x:v>
      </x:c>
      <x:c r="D27" s="32" t="str">
        <x:v>Mango Shaved Ice</x:v>
      </x:c>
      <x:c r="E27" s="21" t="str">
        <x:v>관광객 인기 디저트</x:v>
      </x:c>
      <x:c r="F27" s="44" t="str">
        <x:v>저~중</x:v>
      </x:c>
      <x:c r="G27" s="44" t="str"/>
      <x:c r="H27" s="44" t="str">
        <x:v>대기</x:v>
      </x:c>
      <x:c r="I27" s="21" t="str">
        <x:v>Taipei Travel</x:v>
      </x:c>
      <x:c r="J27" s="42" t="str">
        <x:v>https://www.travel.taipei/en/must-visit/eat</x:v>
      </x:c>
      <x:c r="K27" s="21" t="str">
        <x:v>망고 계절성 확인</x:v>
      </x:c>
    </x:row>
    <x:row r="28" ht="36" customHeight="1">
      <x:c r="A28" s="33" t="str">
        <x:v>대만</x:v>
      </x:c>
      <x:c r="B28" s="33" t="str">
        <x:v>타이베이</x:v>
      </x:c>
      <x:c r="C28" s="33" t="str">
        <x:v>루러우판</x:v>
      </x:c>
      <x:c r="D28" s="33" t="str">
        <x:v>Braised Pork Rice</x:v>
      </x:c>
      <x:c r="E28" s="22" t="str">
        <x:v>야시장·대중 식사 기준점</x:v>
      </x:c>
      <x:c r="F28" s="45" t="str">
        <x:v>저</x:v>
      </x:c>
      <x:c r="G28" s="45" t="str"/>
      <x:c r="H28" s="45" t="str">
        <x:v>대기</x:v>
      </x:c>
      <x:c r="I28" s="22" t="str">
        <x:v>Taipei Travel</x:v>
      </x:c>
      <x:c r="J28" s="43" t="str">
        <x:v>https://www.travel.taipei/en/must-visit/eat</x:v>
      </x:c>
      <x:c r="K28" s="22" t="str">
        <x:v>야시장 3곳 표본</x:v>
      </x:c>
    </x:row>
    <x:row r="29" ht="36" customHeight="1">
      <x:c r="A29" s="32" t="str">
        <x:v>대만</x:v>
      </x:c>
      <x:c r="B29" s="32" t="str">
        <x:v>타이베이</x:v>
      </x:c>
      <x:c r="C29" s="32" t="str">
        <x:v>지파이</x:v>
      </x:c>
      <x:c r="D29" s="32" t="str">
        <x:v>Fried Chicken Cutlet</x:v>
      </x:c>
      <x:c r="E29" s="21" t="str">
        <x:v>야시장 대표 간식</x:v>
      </x:c>
      <x:c r="F29" s="44" t="str">
        <x:v>저</x:v>
      </x:c>
      <x:c r="G29" s="44" t="str"/>
      <x:c r="H29" s="44" t="str">
        <x:v>대기</x:v>
      </x:c>
      <x:c r="I29" s="21" t="str">
        <x:v>Taipei Travel</x:v>
      </x:c>
      <x:c r="J29" s="42" t="str">
        <x:v>https://www.travel.taipei/en/must-visit/eat</x:v>
      </x:c>
      <x:c r="K29" s="21" t="str">
        <x:v>크기/브랜드별 가격</x:v>
      </x:c>
    </x:row>
    <x:row r="30" ht="36" customHeight="1">
      <x:c r="A30" s="33" t="str">
        <x:v>싱가포르</x:v>
      </x:c>
      <x:c r="B30" s="33" t="str">
        <x:v>싱가포르</x:v>
      </x:c>
      <x:c r="C30" s="33" t="str">
        <x:v>치킨라이스</x:v>
      </x:c>
      <x:c r="D30" s="33" t="str">
        <x:v>Chicken Rice</x:v>
      </x:c>
      <x:c r="E30" s="22" t="str">
        <x:v>싱가포르 대표 호커 음식</x:v>
      </x:c>
      <x:c r="F30" s="45" t="str">
        <x:v>저</x:v>
      </x:c>
      <x:c r="G30" s="45" t="str"/>
      <x:c r="H30" s="45" t="str">
        <x:v>대기</x:v>
      </x:c>
      <x:c r="I30" s="22" t="str">
        <x:v>Visit Singapore</x:v>
      </x:c>
      <x:c r="J30" s="43" t="str">
        <x:v>https://www.visitsingapore.com/dining-drinks-singapore/local-dishes/</x:v>
      </x:c>
      <x:c r="K30" s="22" t="str">
        <x:v>호커센터 3곳 표본</x:v>
      </x:c>
    </x:row>
    <x:row r="31" ht="36" customHeight="1">
      <x:c r="A31" s="32" t="str">
        <x:v>싱가포르</x:v>
      </x:c>
      <x:c r="B31" s="32" t="str">
        <x:v>싱가포르</x:v>
      </x:c>
      <x:c r="C31" s="32" t="str">
        <x:v>카야토스트</x:v>
      </x:c>
      <x:c r="D31" s="32" t="str">
        <x:v>Kaya Toast</x:v>
      </x:c>
      <x:c r="E31" s="21" t="str">
        <x:v>대표 아침식사</x:v>
      </x:c>
      <x:c r="F31" s="44" t="str">
        <x:v>저</x:v>
      </x:c>
      <x:c r="G31" s="44" t="str">
        <x:v>SIN-FD-001</x:v>
      </x:c>
      <x:c r="H31" s="44" t="str">
        <x:v>재검증</x:v>
      </x:c>
      <x:c r="I31" s="21" t="str">
        <x:v>Visit Singapore</x:v>
      </x:c>
      <x:c r="J31" s="42" t="str">
        <x:v>https://www.visitsingapore.com/dining-drinks-singapore/local-dishes/</x:v>
      </x:c>
      <x:c r="K31" s="21" t="str">
        <x:v>브랜드 공식 가격 확인</x:v>
      </x:c>
    </x:row>
    <x:row r="32" ht="36" customHeight="1">
      <x:c r="A32" s="33" t="str">
        <x:v>싱가포르</x:v>
      </x:c>
      <x:c r="B32" s="33" t="str">
        <x:v>싱가포르</x:v>
      </x:c>
      <x:c r="C32" s="33" t="str">
        <x:v>락사</x:v>
      </x:c>
      <x:c r="D32" s="33" t="str">
        <x:v>Laksa</x:v>
      </x:c>
      <x:c r="E32" s="22" t="str">
        <x:v>페라나칸계 대표 면요리</x:v>
      </x:c>
      <x:c r="F32" s="45" t="str">
        <x:v>저~중</x:v>
      </x:c>
      <x:c r="G32" s="45" t="str">
        <x:v>SIN-FD-002</x:v>
      </x:c>
      <x:c r="H32" s="45" t="str">
        <x:v>재검증</x:v>
      </x:c>
      <x:c r="I32" s="22" t="str">
        <x:v>Visit Singapore</x:v>
      </x:c>
      <x:c r="J32" s="43" t="str">
        <x:v>https://www.visitsingapore.com/dining-drinks-singapore/local-dishes/</x:v>
      </x:c>
      <x:c r="K32" s="22" t="str">
        <x:v>호커/체인 분리</x:v>
      </x:c>
    </x:row>
    <x:row r="33" ht="36" customHeight="1">
      <x:c r="A33" s="32" t="str">
        <x:v>싱가포르</x:v>
      </x:c>
      <x:c r="B33" s="32" t="str">
        <x:v>싱가포르</x:v>
      </x:c>
      <x:c r="C33" s="32" t="str">
        <x:v>로티 프라타</x:v>
      </x:c>
      <x:c r="D33" s="32" t="str">
        <x:v>Roti Prata</x:v>
      </x:c>
      <x:c r="E33" s="21" t="str">
        <x:v>저렴한 현지 식사·간식</x:v>
      </x:c>
      <x:c r="F33" s="44" t="str">
        <x:v>저</x:v>
      </x:c>
      <x:c r="G33" s="44" t="str"/>
      <x:c r="H33" s="44" t="str">
        <x:v>대기</x:v>
      </x:c>
      <x:c r="I33" s="21" t="str">
        <x:v>Visit Singapore</x:v>
      </x:c>
      <x:c r="J33" s="42" t="str">
        <x:v>https://www.visitsingapore.com/dining-drinks-singapore/local-dishes/</x:v>
      </x:c>
      <x:c r="K33" s="21" t="str">
        <x:v>플레인/계란 세트 분리</x:v>
      </x:c>
    </x:row>
    <x:row r="34" ht="36" customHeight="1">
      <x:c r="A34" s="33" t="str">
        <x:v>싱가포르</x:v>
      </x:c>
      <x:c r="B34" s="33" t="str">
        <x:v>싱가포르</x:v>
      </x:c>
      <x:c r="C34" s="33" t="str">
        <x:v>호키엔 미</x:v>
      </x:c>
      <x:c r="D34" s="33" t="str">
        <x:v>Hokkien Mee</x:v>
      </x:c>
      <x:c r="E34" s="22" t="str">
        <x:v>싱가포르식 볶음면</x:v>
      </x:c>
      <x:c r="F34" s="45" t="str">
        <x:v>저~중</x:v>
      </x:c>
      <x:c r="G34" s="45" t="str"/>
      <x:c r="H34" s="45" t="str">
        <x:v>대기</x:v>
      </x:c>
      <x:c r="I34" s="22" t="str">
        <x:v>Visit Singapore</x:v>
      </x:c>
      <x:c r="J34" s="43" t="str">
        <x:v>https://www.visitsingapore.com/dining-drinks-singapore/local-dishes/</x:v>
      </x:c>
      <x:c r="K34" s="22" t="str">
        <x:v>호커센터 표본 필요</x:v>
      </x:c>
    </x:row>
    <x:row r="35" ht="36" customHeight="1">
      <x:c r="A35" s="32" t="str">
        <x:v>프랑스</x:v>
      </x:c>
      <x:c r="B35" s="32" t="str">
        <x:v>파리</x:v>
      </x:c>
      <x:c r="C35" s="32" t="str">
        <x:v>바게트</x:v>
      </x:c>
      <x:c r="D35" s="32" t="str">
        <x:v>Baguette</x:v>
      </x:c>
      <x:c r="E35" s="21" t="str">
        <x:v>파리 일상 식문화 대표</x:v>
      </x:c>
      <x:c r="F35" s="44" t="str">
        <x:v>저</x:v>
      </x:c>
      <x:c r="G35" s="44" t="str"/>
      <x:c r="H35" s="44" t="str">
        <x:v>대기</x:v>
      </x:c>
      <x:c r="I35" s="21" t="str">
        <x:v>Paris je t'aime</x:v>
      </x:c>
      <x:c r="J35" s="42" t="str">
        <x:v>https://parisjetaime.com/eng/article/what-to-eat-in-paris-a954</x:v>
      </x:c>
      <x:c r="K35" s="21" t="str">
        <x:v>동네 빵집 3곳</x:v>
      </x:c>
    </x:row>
    <x:row r="36" ht="36" customHeight="1">
      <x:c r="A36" s="33" t="str">
        <x:v>프랑스</x:v>
      </x:c>
      <x:c r="B36" s="33" t="str">
        <x:v>파리</x:v>
      </x:c>
      <x:c r="C36" s="33" t="str">
        <x:v>크루아상</x:v>
      </x:c>
      <x:c r="D36" s="33" t="str">
        <x:v>Croissant</x:v>
      </x:c>
      <x:c r="E36" s="22" t="str">
        <x:v>대표 아침 페이스트리</x:v>
      </x:c>
      <x:c r="F36" s="45" t="str">
        <x:v>저</x:v>
      </x:c>
      <x:c r="G36" s="45" t="str"/>
      <x:c r="H36" s="45" t="str">
        <x:v>대기</x:v>
      </x:c>
      <x:c r="I36" s="22" t="str">
        <x:v>Paris je t'aime</x:v>
      </x:c>
      <x:c r="J36" s="43" t="str">
        <x:v>https://parisjetaime.com/eng/article/what-to-eat-in-paris-a954</x:v>
      </x:c>
      <x:c r="K36" s="22" t="str">
        <x:v>커피 세트와 단품 분리</x:v>
      </x:c>
    </x:row>
    <x:row r="37" ht="36" customHeight="1">
      <x:c r="A37" s="32" t="str">
        <x:v>프랑스</x:v>
      </x:c>
      <x:c r="B37" s="32" t="str">
        <x:v>파리</x:v>
      </x:c>
      <x:c r="C37" s="32" t="str">
        <x:v>양파수프</x:v>
      </x:c>
      <x:c r="D37" s="32" t="str">
        <x:v>French Onion Soup</x:v>
      </x:c>
      <x:c r="E37" s="21" t="str">
        <x:v>전통 파리 비스트로 메뉴</x:v>
      </x:c>
      <x:c r="F37" s="44" t="str">
        <x:v>중</x:v>
      </x:c>
      <x:c r="G37" s="44" t="str"/>
      <x:c r="H37" s="44" t="str">
        <x:v>대기</x:v>
      </x:c>
      <x:c r="I37" s="21" t="str">
        <x:v>Paris je t'aime</x:v>
      </x:c>
      <x:c r="J37" s="42" t="str">
        <x:v>https://parisjetaime.com/eng/article/what-to-eat-in-paris-a954</x:v>
      </x:c>
      <x:c r="K37" s="21" t="str">
        <x:v>부용/호텔 가격대 분리</x:v>
      </x:c>
    </x:row>
    <x:row r="38" ht="36" customHeight="1">
      <x:c r="A38" s="33" t="str">
        <x:v>프랑스</x:v>
      </x:c>
      <x:c r="B38" s="33" t="str">
        <x:v>파리</x:v>
      </x:c>
      <x:c r="C38" s="33" t="str">
        <x:v>크레프</x:v>
      </x:c>
      <x:c r="D38" s="33" t="str">
        <x:v>Crêpe</x:v>
      </x:c>
      <x:c r="E38" s="22" t="str">
        <x:v>거리 음식·간단한 한 끼</x:v>
      </x:c>
      <x:c r="F38" s="45" t="str">
        <x:v>저~중</x:v>
      </x:c>
      <x:c r="G38" s="45" t="str"/>
      <x:c r="H38" s="45" t="str">
        <x:v>대기</x:v>
      </x:c>
      <x:c r="I38" s="22" t="str">
        <x:v>Paris je t'aime</x:v>
      </x:c>
      <x:c r="J38" s="43" t="str">
        <x:v>https://parisjetaime.com/eng/article/what-to-eat-in-paris-a954</x:v>
      </x:c>
      <x:c r="K38" s="22" t="str">
        <x:v>달콤/식사용 분리</x:v>
      </x:c>
    </x:row>
    <x:row r="39" ht="36" customHeight="1">
      <x:c r="A39" s="32" t="str">
        <x:v>프랑스</x:v>
      </x:c>
      <x:c r="B39" s="32" t="str">
        <x:v>파리</x:v>
      </x:c>
      <x:c r="C39" s="32" t="str">
        <x:v>마카롱</x:v>
      </x:c>
      <x:c r="D39" s="32" t="str">
        <x:v>Macaron</x:v>
      </x:c>
      <x:c r="E39" s="21" t="str">
        <x:v>인기 디저트·기념품</x:v>
      </x:c>
      <x:c r="F39" s="44" t="str">
        <x:v>중</x:v>
      </x:c>
      <x:c r="G39" s="44" t="str">
        <x:v>PAR-SV-003</x:v>
      </x:c>
      <x:c r="H39" s="44" t="str">
        <x:v>재검증</x:v>
      </x:c>
      <x:c r="I39" s="21" t="str">
        <x:v>Paris je t'aime</x:v>
      </x:c>
      <x:c r="J39" s="42" t="str">
        <x:v>https://parisjetaime.com/eng/article/what-to-eat-in-paris-a954</x:v>
      </x:c>
      <x:c r="K39" s="21" t="str">
        <x:v>3개 브랜드 공식몰 수집</x:v>
      </x:c>
    </x:row>
    <x:row r="40" ht="36" customHeight="1">
      <x:c r="A40" s="33" t="str">
        <x:v>영국</x:v>
      </x:c>
      <x:c r="B40" s="33" t="str">
        <x:v>런던</x:v>
      </x:c>
      <x:c r="C40" s="33" t="str">
        <x:v>피시앤칩스</x:v>
      </x:c>
      <x:c r="D40" s="33" t="str">
        <x:v>Fish and Chips</x:v>
      </x:c>
      <x:c r="E40" s="22" t="str">
        <x:v>대표 영국식 한 끼</x:v>
      </x:c>
      <x:c r="F40" s="45" t="str">
        <x:v>중</x:v>
      </x:c>
      <x:c r="G40" s="45" t="str">
        <x:v>LON-FD-004</x:v>
      </x:c>
      <x:c r="H40" s="45" t="str">
        <x:v>재검증</x:v>
      </x:c>
      <x:c r="I40" s="22" t="str">
        <x:v>Visit London</x:v>
      </x:c>
      <x:c r="J40" s="43" t="str">
        <x:v>https://www.visitlondon.com/blog/british-food-to-try-in-london</x:v>
      </x:c>
      <x:c r="K40" s="22" t="str">
        <x:v>공식 펍/전문점 3곳</x:v>
      </x:c>
    </x:row>
    <x:row r="41" ht="36" customHeight="1">
      <x:c r="A41" s="32" t="str">
        <x:v>영국</x:v>
      </x:c>
      <x:c r="B41" s="32" t="str">
        <x:v>런던</x:v>
      </x:c>
      <x:c r="C41" s="32" t="str">
        <x:v>선데이 로스트</x:v>
      </x:c>
      <x:c r="D41" s="32" t="str">
        <x:v>Sunday Roast</x:v>
      </x:c>
      <x:c r="E41" s="21" t="str">
        <x:v>영국 일요일 전통 식사</x:v>
      </x:c>
      <x:c r="F41" s="44" t="str">
        <x:v>중~고</x:v>
      </x:c>
      <x:c r="G41" s="44" t="str"/>
      <x:c r="H41" s="44" t="str">
        <x:v>대기</x:v>
      </x:c>
      <x:c r="I41" s="21" t="str">
        <x:v>Visit London</x:v>
      </x:c>
      <x:c r="J41" s="42" t="str">
        <x:v>https://www.visitlondon.com/blog/british-food-to-try-in-london</x:v>
      </x:c>
      <x:c r="K41" s="21" t="str">
        <x:v>요일 한정·세트 구성</x:v>
      </x:c>
    </x:row>
    <x:row r="42" ht="36" customHeight="1">
      <x:c r="A42" s="33" t="str">
        <x:v>영국</x:v>
      </x:c>
      <x:c r="B42" s="33" t="str">
        <x:v>런던</x:v>
      </x:c>
      <x:c r="C42" s="33" t="str">
        <x:v>애프터눈티</x:v>
      </x:c>
      <x:c r="D42" s="33" t="str">
        <x:v>Afternoon Tea</x:v>
      </x:c>
      <x:c r="E42" s="22" t="str">
        <x:v>런던 대표 체험형 식사</x:v>
      </x:c>
      <x:c r="F42" s="45" t="str">
        <x:v>고</x:v>
      </x:c>
      <x:c r="G42" s="45" t="str"/>
      <x:c r="H42" s="45" t="str">
        <x:v>대기</x:v>
      </x:c>
      <x:c r="I42" s="22" t="str">
        <x:v>Visit London</x:v>
      </x:c>
      <x:c r="J42" s="43" t="str">
        <x:v>https://www.visitlondon.com/blog/british-food-to-try-in-london</x:v>
      </x:c>
      <x:c r="K42" s="22" t="str">
        <x:v>호텔/일반 카페 가격 분리</x:v>
      </x:c>
    </x:row>
    <x:row r="43" ht="36" customHeight="1">
      <x:c r="A43" s="32" t="str">
        <x:v>영국</x:v>
      </x:c>
      <x:c r="B43" s="32" t="str">
        <x:v>런던</x:v>
      </x:c>
      <x:c r="C43" s="32" t="str">
        <x:v>스테이크 앤 에일 파이</x:v>
      </x:c>
      <x:c r="D43" s="32" t="str">
        <x:v>Steak and Ale Pie</x:v>
      </x:c>
      <x:c r="E43" s="21" t="str">
        <x:v>대표 펍 음식</x:v>
      </x:c>
      <x:c r="F43" s="44" t="str">
        <x:v>중</x:v>
      </x:c>
      <x:c r="G43" s="44" t="str"/>
      <x:c r="H43" s="44" t="str">
        <x:v>대기</x:v>
      </x:c>
      <x:c r="I43" s="21" t="str">
        <x:v>Visit London</x:v>
      </x:c>
      <x:c r="J43" s="42" t="str">
        <x:v>https://www.visitlondon.com/blog/british-food-to-try-in-london</x:v>
      </x:c>
      <x:c r="K43" s="21" t="str">
        <x:v>펍 3곳 메뉴</x:v>
      </x:c>
    </x:row>
    <x:row r="44" ht="36" customHeight="1">
      <x:c r="A44" s="33" t="str">
        <x:v>영국</x:v>
      </x:c>
      <x:c r="B44" s="33" t="str">
        <x:v>런던</x:v>
      </x:c>
      <x:c r="C44" s="33" t="str">
        <x:v>풀 잉글리시 브렉퍼스트</x:v>
      </x:c>
      <x:c r="D44" s="33" t="str">
        <x:v>Full English Breakfast</x:v>
      </x:c>
      <x:c r="E44" s="22" t="str">
        <x:v>대표 영국식 아침</x:v>
      </x:c>
      <x:c r="F44" s="45" t="str">
        <x:v>저~중</x:v>
      </x:c>
      <x:c r="G44" s="45" t="str">
        <x:v>LON-FD-003</x:v>
      </x:c>
      <x:c r="H44" s="45" t="str">
        <x:v>재검증</x:v>
      </x:c>
      <x:c r="I44" s="22" t="str">
        <x:v>Visit London</x:v>
      </x:c>
      <x:c r="J44" s="43" t="str">
        <x:v>https://www.visitlondon.com/blog/british-food-to-try-in-london</x:v>
      </x:c>
      <x:c r="K44" s="22" t="str">
        <x:v>공식 지점별 가격 확보</x:v>
      </x:c>
    </x:row>
    <x:row r="45" ht="44" customHeight="1">
      <x:c r="A45" s="23" t="str">
        <x:v>튀르키예</x:v>
      </x:c>
      <x:c r="B45" s="23" t="str">
        <x:v>이스탄불</x:v>
      </x:c>
      <x:c r="C45" s="23" t="str">
        <x:v>되네르 케밥</x:v>
      </x:c>
      <x:c r="D45" s="23" t="str">
        <x:v>Döner kebab</x:v>
      </x:c>
      <x:c r="E45" s="23" t="str">
        <x:v>이스탄불의 대표적인 길거리 음식으로 소개되며, 고기와 채소를 빵이나 라바시에 담아 먹는다.</x:v>
      </x:c>
      <x:c r="F45" s="23" t="str">
        <x:v>미조사</x:v>
      </x:c>
      <x:c r="G45" s="23"/>
      <x:c r="H45" s="23" t="str">
        <x:v>대기</x:v>
      </x:c>
      <x:c r="I45" s="23" t="str">
        <x:v>GoTürkiye</x:v>
      </x:c>
      <x:c r="J45" s="23" t="str">
        <x:v>https://goturkiye.com/branding/the-10-most-popular-street-foods-of-istanbul</x:v>
      </x:c>
      <x:c r="K45" s="23" t="str">
        <x:v>관광청 음식 추천만 기록. 공식 판매 가격 표본은 별도로 확인하지 않아 가격대는 입력하지 않음.</x:v>
      </x:c>
    </x:row>
    <x:row r="46" ht="44" customHeight="1">
      <x:c r="A46" s="23" t="str">
        <x:v>튀르키예</x:v>
      </x:c>
      <x:c r="B46" s="23" t="str">
        <x:v>이스탄불</x:v>
      </x:c>
      <x:c r="C46" s="23" t="str">
        <x:v>시미트</x:v>
      </x:c>
      <x:c r="D46" s="23" t="str">
        <x:v>Simit</x:v>
      </x:c>
      <x:c r="E46" s="23" t="str">
        <x:v>참깨를 얹은 고리 모양 빵으로, 이스탄불의 아침 식사와 길거리 간식으로 소개된다.</x:v>
      </x:c>
      <x:c r="F46" s="23" t="str">
        <x:v>미조사</x:v>
      </x:c>
      <x:c r="G46" s="23"/>
      <x:c r="H46" s="23" t="str">
        <x:v>대기</x:v>
      </x:c>
      <x:c r="I46" s="23" t="str">
        <x:v>GoTürkiye</x:v>
      </x:c>
      <x:c r="J46" s="23" t="str">
        <x:v>https://goturkiye.com/branding/the-10-most-popular-street-foods-of-istanbul</x:v>
      </x:c>
      <x:c r="K46" s="23" t="str">
        <x:v>관광청 음식 추천만 기록. 공식 판매 가격 표본은 별도로 확인하지 않아 가격대는 입력하지 않음.</x:v>
      </x:c>
    </x:row>
    <x:row r="47" ht="44" customHeight="1">
      <x:c r="A47" s="23" t="str">
        <x:v>튀르키예</x:v>
      </x:c>
      <x:c r="B47" s="23" t="str">
        <x:v>이스탄불</x:v>
      </x:c>
      <x:c r="C47" s="23" t="str">
        <x:v>코코레치</x:v>
      </x:c>
      <x:c r="D47" s="23" t="str">
        <x:v>Kokoreç</x:v>
      </x:c>
      <x:c r="E47" s="23" t="str">
        <x:v>양 내장을 향신료와 함께 구운 뒤 샌드위치 형태로 먹는 이스탄불 길거리 음식으로 소개된다.</x:v>
      </x:c>
      <x:c r="F47" s="23" t="str">
        <x:v>미조사</x:v>
      </x:c>
      <x:c r="G47" s="23"/>
      <x:c r="H47" s="23" t="str">
        <x:v>대기</x:v>
      </x:c>
      <x:c r="I47" s="23" t="str">
        <x:v>GoTürkiye</x:v>
      </x:c>
      <x:c r="J47" s="23" t="str">
        <x:v>https://goturkiye.com/branding/the-10-most-popular-street-foods-of-istanbul</x:v>
      </x:c>
      <x:c r="K47" s="23" t="str">
        <x:v>관광청 음식 추천만 기록. 공식 판매 가격 표본은 별도로 확인하지 않아 가격대는 입력하지 않음.</x:v>
      </x:c>
    </x:row>
    <x:row r="48" ht="44" customHeight="1">
      <x:c r="A48" s="23" t="str">
        <x:v>튀르키예</x:v>
      </x:c>
      <x:c r="B48" s="23" t="str">
        <x:v>이스탄불</x:v>
      </x:c>
      <x:c r="C48" s="23" t="str">
        <x:v>바클라바</x:v>
      </x:c>
      <x:c r="D48" s="23" t="str">
        <x:v>Baklava</x:v>
      </x:c>
      <x:c r="E48" s="23" t="str">
        <x:v>얇은 반죽층에 시럽과 견과류를 더한 이스탄불 대표 디저트로 소개된다.</x:v>
      </x:c>
      <x:c r="F48" s="23" t="str">
        <x:v>미조사</x:v>
      </x:c>
      <x:c r="G48" s="23"/>
      <x:c r="H48" s="23" t="str">
        <x:v>대기</x:v>
      </x:c>
      <x:c r="I48" s="23" t="str">
        <x:v>GoTürkiye</x:v>
      </x:c>
      <x:c r="J48" s="23" t="str">
        <x:v>https://goturkiye.com/istanbul/the-sweet-happy-ever-after</x:v>
      </x:c>
      <x:c r="K48" s="23" t="str">
        <x:v>관광청 음식 추천만 기록. 공식 판매 가격 표본은 별도로 확인하지 않아 가격대는 입력하지 않음.</x:v>
      </x:c>
    </x:row>
    <x:row r="49" ht="44" customHeight="1">
      <x:c r="A49" s="23" t="str">
        <x:v>튀르키예</x:v>
      </x:c>
      <x:c r="B49" s="23" t="str">
        <x:v>이스탄불</x:v>
      </x:c>
      <x:c r="C49" s="23" t="str">
        <x:v>퀴네페</x:v>
      </x:c>
      <x:c r="D49" s="23" t="str">
        <x:v>Künefe</x:v>
      </x:c>
      <x:c r="E49" s="23" t="str">
        <x:v>따뜻하게 먹으며 안에 치즈를 넣는 튀르키예 디저트로 소개된다.</x:v>
      </x:c>
      <x:c r="F49" s="23" t="str">
        <x:v>미조사</x:v>
      </x:c>
      <x:c r="G49" s="23"/>
      <x:c r="H49" s="23" t="str">
        <x:v>대기</x:v>
      </x:c>
      <x:c r="I49" s="23" t="str">
        <x:v>GoTürkiye</x:v>
      </x:c>
      <x:c r="J49" s="23" t="str">
        <x:v>https://goturkiye.com/istanbul/the-sweet-happy-ever-after</x:v>
      </x:c>
      <x:c r="K49" s="23" t="str">
        <x:v>관광청 음식 추천만 기록. 공식 판매 가격 표본은 별도로 확인하지 않아 가격대는 입력하지 않음.</x:v>
      </x:c>
    </x:row>
    <x:row r="50" ht="44" customHeight="1">
      <x:c r="A50" s="23" t="str">
        <x:v>중국</x:v>
      </x:c>
      <x:c r="B50" s="23" t="str">
        <x:v>상하이</x:v>
      </x:c>
      <x:c r="C50" s="23" t="str">
        <x:v>샤오롱바오</x:v>
      </x:c>
      <x:c r="D50" s="23" t="str">
        <x:v>Xiaolongbao</x:v>
      </x:c>
      <x:c r="E50" s="23" t="str">
        <x:v>상하이 대표 소룡포로, 얇은 피 안에 육즙을 넣어 쪄 먹는 음식으로 시 정부 관광 안내가 소개한다.</x:v>
      </x:c>
      <x:c r="F50" s="23" t="str">
        <x:v>미조사</x:v>
      </x:c>
      <x:c r="G50" s="23"/>
      <x:c r="H50" s="23" t="str">
        <x:v>대기</x:v>
      </x:c>
      <x:c r="I50" s="23" t="str">
        <x:v>Shanghai Municipal Administration of Culture and Tourism</x:v>
      </x:c>
      <x:c r="J50" s="23" t="str">
        <x:v>https://english.shanghai.gov.cn/en-GlobalTasteinShanghai2026-LocalFlavors/20260316/00b0c6d1698d406c8d532a6e169e1a1e.html</x:v>
      </x:c>
      <x:c r="K50" s="23" t="str">
        <x:v>공식 관광 안내의 음식 추천만 기록. 이 행에는 판매가를 입력하지 않음.</x:v>
      </x:c>
    </x:row>
    <x:row r="51" ht="44" customHeight="1">
      <x:c r="A51" s="23" t="str">
        <x:v>중국</x:v>
      </x:c>
      <x:c r="B51" s="23" t="str">
        <x:v>상하이</x:v>
      </x:c>
      <x:c r="C51" s="23" t="str">
        <x:v>성젠바오</x:v>
      </x:c>
      <x:c r="D51" s="23" t="str">
        <x:v>Shengjianbao</x:v>
      </x:c>
      <x:c r="E51" s="23" t="str">
        <x:v>바닥을 바삭하게 구워 육즙과 함께 먹는 상하이식 생전포로, 시 정부 관광 안내가 현지 간식으로 소개한다.</x:v>
      </x:c>
      <x:c r="F51" s="23" t="str">
        <x:v>미조사</x:v>
      </x:c>
      <x:c r="G51" s="23"/>
      <x:c r="H51" s="23" t="str">
        <x:v>대기</x:v>
      </x:c>
      <x:c r="I51" s="23" t="str">
        <x:v>Shanghai Municipal Administration of Culture and Tourism</x:v>
      </x:c>
      <x:c r="J51" s="23" t="str">
        <x:v>https://english.shanghai.gov.cn/en-Snack-travelinshanghai/20231205/1b1c394feda144c283df2abd3e8b2cec.html</x:v>
      </x:c>
      <x:c r="K51" s="23" t="str">
        <x:v>공식 관광 안내의 음식 추천만 기록. 이 행에는 판매가를 입력하지 않음.</x:v>
      </x:c>
    </x:row>
    <x:row r="52" ht="44" customHeight="1">
      <x:c r="A52" s="23" t="str">
        <x:v>중국</x:v>
      </x:c>
      <x:c r="B52" s="23" t="str">
        <x:v>상하이</x:v>
      </x:c>
      <x:c r="C52" s="23" t="str">
        <x:v>옌두셴</x:v>
      </x:c>
      <x:c r="D52" s="23" t="str">
        <x:v>Yanduxian</x:v>
      </x:c>
      <x:c r="E52" s="23" t="str">
        <x:v>절인 돼지고기와 생고기, 죽순을 함께 끓이는 강남 지역 봄철 국물 요리로, 시 정부 관광 안내가 지역 가정식으로 소개한다.</x:v>
      </x:c>
      <x:c r="F52" s="23" t="str">
        <x:v>미조사</x:v>
      </x:c>
      <x:c r="G52" s="23"/>
      <x:c r="H52" s="23" t="str">
        <x:v>대기</x:v>
      </x:c>
      <x:c r="I52" s="23" t="str">
        <x:v>Shanghai Municipal Administration of Culture and Tourism</x:v>
      </x:c>
      <x:c r="J52" s="23" t="str">
        <x:v>https://english.shanghai.gov.cn/en-GlobalTasteinShanghai2026-LocalFlavors/20260410/1554e7ea15da4a6796e5bf8dc5cfb57f.html</x:v>
      </x:c>
      <x:c r="K52" s="23" t="str">
        <x:v>공식 관광 안내의 음식 추천만 기록. 본문에 가격 언급이 있어도 평균값은 사용하지 않음.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fd8ff69e05d482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12" hidden="0" customWidth="1"/>
    <x:col min="5" max="5" width="12" hidden="0" customWidth="1"/>
    <x:col min="6" max="6" width="12" hidden="0" customWidth="1"/>
    <x:col min="7" max="7" width="13" hidden="0" customWidth="1"/>
    <x:col min="8" max="8" width="10" hidden="0" customWidth="1"/>
    <x:col min="9" max="9" width="13" hidden="0" customWidth="1"/>
    <x:col min="10" max="10" width="11" hidden="0" customWidth="1"/>
    <x:col min="11" max="11" width="11" hidden="0" customWidth="1"/>
    <x:col min="12" max="12" width="16" hidden="0" customWidth="1"/>
    <x:col min="13" max="13" width="42" hidden="0" customWidth="1"/>
  </x:cols>
  <x:sheetData>
    <x:row r="1" ht="34" customHeight="1">
      <x:c r="A1" s="3" t="str">
        <x:v>도시별 조사 진행 현황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6" t="str">
        <x:v>충족률은 원장의 카테고리별 표본 수를 보여 주는 요약이다. 실제 계산 가능 여부는 웹앱의 식사·간식·1일권·1회권 분리와 제외 규칙을 적용해 최종 판정한다.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4" customHeight="1">
      <x:c r="A4" s="12" t="str">
        <x:v>국가</x:v>
      </x:c>
      <x:c r="B4" s="12" t="str">
        <x:v>도시</x:v>
      </x:c>
      <x:c r="C4" s="12" t="str">
        <x:v>통화</x:v>
      </x:c>
      <x:c r="D4" s="12" t="str">
        <x:v>교통 표본</x:v>
      </x:c>
      <x:c r="E4" s="12" t="str">
        <x:v>외식 표본</x:v>
      </x:c>
      <x:c r="F4" s="12" t="str">
        <x:v>관광 표본</x:v>
      </x:c>
      <x:c r="G4" s="12" t="str">
        <x:v>기념품 표본</x:v>
      </x:c>
      <x:c r="H4" s="12" t="str">
        <x:v>A등급</x:v>
      </x:c>
      <x:c r="I4" s="12" t="str">
        <x:v>모델사용 예</x:v>
      </x:c>
      <x:c r="J4" s="12" t="str">
        <x:v>변동형</x:v>
      </x:c>
      <x:c r="K4" s="12" t="str">
        <x:v>충족률</x:v>
      </x:c>
      <x:c r="L4" s="12" t="str">
        <x:v>판정</x:v>
      </x:c>
      <x:c r="M4" s="12" t="str">
        <x:v>다음 액션</x:v>
      </x:c>
    </x:row>
    <x:row r="5" ht="38" customHeight="1">
      <x:c r="A5" s="15" t="str">
        <x:v>일본</x:v>
      </x:c>
      <x:c r="B5" s="15" t="str">
        <x:v>도쿄</x:v>
      </x:c>
      <x:c r="C5" s="15" t="str">
        <x:v>JPY</x:v>
      </x:c>
      <x:c r="D5" s="32" t="n">
        <x:f>COUNTIFS('가격 표본'!$C$5:$C$150,B5,'가격 표본'!$D$5:$D$150,"교통")</x:f>
        <x:v>7</x:v>
      </x:c>
      <x:c r="E5" s="32" t="n">
        <x:f>COUNTIFS('가격 표본'!$C$5:$C$150,B5,'가격 표본'!$D$5:$D$150,"외식")</x:f>
        <x:v>3</x:v>
      </x:c>
      <x:c r="F5" s="32" t="n">
        <x:f>COUNTIFS('가격 표본'!$C$5:$C$150,B5,'가격 표본'!$D$5:$D$150,"관광")</x:f>
        <x:v>3</x:v>
      </x:c>
      <x:c r="G5" s="32" t="n">
        <x:f>COUNTIFS('가격 표본'!$C$5:$C$150,B5,'가격 표본'!$D$5:$D$150,"기념품")</x:f>
        <x:v>4</x:v>
      </x:c>
      <x:c r="H5" s="32" t="n">
        <x:f>COUNTIFS('가격 표본'!$C$5:$C$150,B5,'가격 표본'!$N$5:$N$150,"A 공식")</x:f>
        <x:v>17</x:v>
      </x:c>
      <x:c r="I5" s="32" t="n">
        <x:f>COUNTIFS('가격 표본'!$C$5:$C$150,B5,'가격 표본'!$O$5:$O$150,"예")</x:f>
        <x:v>16</x:v>
      </x:c>
      <x:c r="J5" s="32" t="n">
        <x:f>COUNTIFS('가격 표본'!$C$5:$C$150,B5,'가격 표본'!$L$5:$L$150,"&lt;&gt;고정형")</x:f>
        <x:v>6</x:v>
      </x:c>
      <x:c r="K5" s="48" t="n">
        <x:f>(MIN(3,D5)+MIN(3,E5)+MIN(3,F5)+MIN(3,G5))/12</x:f>
        <x:v>1</x:v>
      </x:c>
      <x:c r="L5" s="32" t="str">
        <x:f>IF(AND(D5&gt;=2,E5&gt;=2,F5&gt;=2,G5&gt;=2,K5&gt;=0.75),"범위 산정 후보",IF(K5&gt;=0.4,"표본 보강","초기"))</x:f>
        <x:v>범위 산정 후보</x:v>
      </x:c>
      <x:c r="M5" s="21" t="str">
        <x:v>교통·외식·관광·기념품 균형 보강</x:v>
      </x:c>
    </x:row>
    <x:row r="6" ht="38" customHeight="1">
      <x:c r="A6" s="16" t="str">
        <x:v>일본</x:v>
      </x:c>
      <x:c r="B6" s="16" t="str">
        <x:v>오사카</x:v>
      </x:c>
      <x:c r="C6" s="16" t="str">
        <x:v>JPY</x:v>
      </x:c>
      <x:c r="D6" s="33" t="n">
        <x:f>COUNTIFS('가격 표본'!$C$5:$C$150,B6,'가격 표본'!$D$5:$D$150,"교통")</x:f>
        <x:v>5</x:v>
      </x:c>
      <x:c r="E6" s="33" t="n">
        <x:f>COUNTIFS('가격 표본'!$C$5:$C$150,B6,'가격 표본'!$D$5:$D$150,"외식")</x:f>
        <x:v>4</x:v>
      </x:c>
      <x:c r="F6" s="33" t="n">
        <x:f>COUNTIFS('가격 표본'!$C$5:$C$150,B6,'가격 표본'!$D$5:$D$150,"관광")</x:f>
        <x:v>3</x:v>
      </x:c>
      <x:c r="G6" s="33" t="n">
        <x:f>COUNTIFS('가격 표본'!$C$5:$C$150,B6,'가격 표본'!$D$5:$D$150,"기념품")</x:f>
        <x:v>4</x:v>
      </x:c>
      <x:c r="H6" s="33" t="n">
        <x:f>COUNTIFS('가격 표본'!$C$5:$C$150,B6,'가격 표본'!$N$5:$N$150,"A 공식")</x:f>
        <x:v>14</x:v>
      </x:c>
      <x:c r="I6" s="33" t="n">
        <x:f>COUNTIFS('가격 표본'!$C$5:$C$150,B6,'가격 표본'!$O$5:$O$150,"예")</x:f>
        <x:v>12</x:v>
      </x:c>
      <x:c r="J6" s="33" t="n">
        <x:f>COUNTIFS('가격 표본'!$C$5:$C$150,B6,'가격 표본'!$L$5:$L$150,"&lt;&gt;고정형")</x:f>
        <x:v>6</x:v>
      </x:c>
      <x:c r="K6" s="49" t="n">
        <x:f>(MIN(3,D6)+MIN(3,E6)+MIN(3,F6)+MIN(3,G6))/12</x:f>
        <x:v>1</x:v>
      </x:c>
      <x:c r="L6" s="33" t="str">
        <x:f>IF(AND(D6&gt;=2,E6&gt;=2,F6&gt;=2,G6&gt;=2,K6&gt;=0.75),"범위 산정 후보",IF(K6&gt;=0.4,"표본 보강","초기"))</x:f>
        <x:v>범위 산정 후보</x:v>
      </x:c>
      <x:c r="M6" s="22" t="str">
        <x:v>오코노미야키·쿠시카츠 공식 메뉴 추가</x:v>
      </x:c>
    </x:row>
    <x:row r="7" ht="38" customHeight="1">
      <x:c r="A7" s="15" t="str">
        <x:v>태국</x:v>
      </x:c>
      <x:c r="B7" s="15" t="str">
        <x:v>방콕</x:v>
      </x:c>
      <x:c r="C7" s="15" t="str">
        <x:v>THB</x:v>
      </x:c>
      <x:c r="D7" s="32" t="n">
        <x:f>COUNTIFS('가격 표본'!$C$5:$C$150,B7,'가격 표본'!$D$5:$D$150,"교통")</x:f>
        <x:v>4</x:v>
      </x:c>
      <x:c r="E7" s="32" t="n">
        <x:f>COUNTIFS('가격 표본'!$C$5:$C$150,B7,'가격 표본'!$D$5:$D$150,"외식")</x:f>
        <x:v>3</x:v>
      </x:c>
      <x:c r="F7" s="32" t="n">
        <x:f>COUNTIFS('가격 표본'!$C$5:$C$150,B7,'가격 표본'!$D$5:$D$150,"관광")</x:f>
        <x:v>3</x:v>
      </x:c>
      <x:c r="G7" s="32" t="n">
        <x:f>COUNTIFS('가격 표본'!$C$5:$C$150,B7,'가격 표본'!$D$5:$D$150,"기념품")</x:f>
        <x:v>6</x:v>
      </x:c>
      <x:c r="H7" s="32" t="n">
        <x:f>COUNTIFS('가격 표본'!$C$5:$C$150,B7,'가격 표본'!$N$5:$N$150,"A 공식")</x:f>
        <x:v>12</x:v>
      </x:c>
      <x:c r="I7" s="32" t="n">
        <x:f>COUNTIFS('가격 표본'!$C$5:$C$150,B7,'가격 표본'!$O$5:$O$150,"예")</x:f>
        <x:v>12</x:v>
      </x:c>
      <x:c r="J7" s="32" t="n">
        <x:f>COUNTIFS('가격 표본'!$C$5:$C$150,B7,'가격 표본'!$L$5:$L$150,"&lt;&gt;고정형")</x:f>
        <x:v>10</x:v>
      </x:c>
      <x:c r="K7" s="48" t="n">
        <x:f>(MIN(3,D7)+MIN(3,E7)+MIN(3,F7)+MIN(3,G7))/12</x:f>
        <x:v>1</x:v>
      </x:c>
      <x:c r="L7" s="32" t="str">
        <x:f>IF(AND(D7&gt;=2,E7&gt;=2,F7&gt;=2,G7&gt;=2,K7&gt;=0.75),"범위 산정 후보",IF(K7&gt;=0.4,"표본 보강","초기"))</x:f>
        <x:v>범위 산정 후보</x:v>
      </x:c>
      <x:c r="M7" s="21" t="str">
        <x:v>저가 길거리 음식과 택시 표본 추가</x:v>
      </x:c>
    </x:row>
    <x:row r="8" ht="38" customHeight="1">
      <x:c r="A8" s="16" t="str">
        <x:v>베트남</x:v>
      </x:c>
      <x:c r="B8" s="16" t="str">
        <x:v>다낭</x:v>
      </x:c>
      <x:c r="C8" s="16" t="str">
        <x:v>VND</x:v>
      </x:c>
      <x:c r="D8" s="33" t="n">
        <x:f>COUNTIFS('가격 표본'!$C$5:$C$150,B8,'가격 표본'!$D$5:$D$150,"교통")</x:f>
        <x:v>7</x:v>
      </x:c>
      <x:c r="E8" s="33" t="n">
        <x:f>COUNTIFS('가격 표본'!$C$5:$C$150,B8,'가격 표본'!$D$5:$D$150,"외식")</x:f>
        <x:v>6</x:v>
      </x:c>
      <x:c r="F8" s="33" t="n">
        <x:f>COUNTIFS('가격 표본'!$C$5:$C$150,B8,'가격 표본'!$D$5:$D$150,"관광")</x:f>
        <x:v>4</x:v>
      </x:c>
      <x:c r="G8" s="33" t="n">
        <x:f>COUNTIFS('가격 표본'!$C$5:$C$150,B8,'가격 표본'!$D$5:$D$150,"기념품")</x:f>
        <x:v>3</x:v>
      </x:c>
      <x:c r="H8" s="33" t="n">
        <x:f>COUNTIFS('가격 표본'!$C$5:$C$150,B8,'가격 표본'!$N$5:$N$150,"A 공식")</x:f>
        <x:v>11</x:v>
      </x:c>
      <x:c r="I8" s="33" t="n">
        <x:f>COUNTIFS('가격 표본'!$C$5:$C$150,B8,'가격 표본'!$O$5:$O$150,"예")</x:f>
        <x:v>10</x:v>
      </x:c>
      <x:c r="J8" s="33" t="n">
        <x:f>COUNTIFS('가격 표본'!$C$5:$C$150,B8,'가격 표본'!$L$5:$L$150,"&lt;&gt;고정형")</x:f>
        <x:v>11</x:v>
      </x:c>
      <x:c r="K8" s="49" t="n">
        <x:f>(MIN(3,D8)+MIN(3,E8)+MIN(3,F8)+MIN(3,G8))/12</x:f>
        <x:v>1</x:v>
      </x:c>
      <x:c r="L8" s="33" t="str">
        <x:f>IF(AND(D8&gt;=2,E8&gt;=2,F8&gt;=2,G8&gt;=2,K8&gt;=0.75),"범위 산정 후보",IF(K8&gt;=0.4,"표본 보강","초기"))</x:f>
        <x:v>범위 산정 후보</x:v>
      </x:c>
      <x:c r="M8" s="22" t="str">
        <x:v>기념품 공식 판매가와 2026 버스요금 확인</x:v>
      </x:c>
    </x:row>
    <x:row r="9" ht="38" customHeight="1">
      <x:c r="A9" s="15" t="str">
        <x:v>대만</x:v>
      </x:c>
      <x:c r="B9" s="15" t="str">
        <x:v>타이베이</x:v>
      </x:c>
      <x:c r="C9" s="15" t="str">
        <x:v>TWD</x:v>
      </x:c>
      <x:c r="D9" s="32" t="n">
        <x:f>COUNTIFS('가격 표본'!$C$5:$C$150,B9,'가격 표본'!$D$5:$D$150,"교통")</x:f>
        <x:v>7</x:v>
      </x:c>
      <x:c r="E9" s="32" t="n">
        <x:f>COUNTIFS('가격 표본'!$C$5:$C$150,B9,'가격 표본'!$D$5:$D$150,"외식")</x:f>
        <x:v>5</x:v>
      </x:c>
      <x:c r="F9" s="32" t="n">
        <x:f>COUNTIFS('가격 표본'!$C$5:$C$150,B9,'가격 표본'!$D$5:$D$150,"관광")</x:f>
        <x:v>3</x:v>
      </x:c>
      <x:c r="G9" s="32" t="n">
        <x:f>COUNTIFS('가격 표본'!$C$5:$C$150,B9,'가격 표본'!$D$5:$D$150,"기념품")</x:f>
        <x:v>4</x:v>
      </x:c>
      <x:c r="H9" s="32" t="n">
        <x:f>COUNTIFS('가격 표본'!$C$5:$C$150,B9,'가격 표본'!$N$5:$N$150,"A 공식")</x:f>
        <x:v>17</x:v>
      </x:c>
      <x:c r="I9" s="32" t="n">
        <x:f>COUNTIFS('가격 표본'!$C$5:$C$150,B9,'가격 표본'!$O$5:$O$150,"예")</x:f>
        <x:v>17</x:v>
      </x:c>
      <x:c r="J9" s="32" t="n">
        <x:f>COUNTIFS('가격 표본'!$C$5:$C$150,B9,'가격 표본'!$L$5:$L$150,"&lt;&gt;고정형")</x:f>
        <x:v>5</x:v>
      </x:c>
      <x:c r="K9" s="48" t="n">
        <x:f>(MIN(3,D9)+MIN(3,E9)+MIN(3,F9)+MIN(3,G9))/12</x:f>
        <x:v>1</x:v>
      </x:c>
      <x:c r="L9" s="32" t="str">
        <x:f>IF(AND(D9&gt;=2,E9&gt;=2,F9&gt;=2,G9&gt;=2,K9&gt;=0.75),"범위 산정 후보",IF(K9&gt;=0.4,"표본 보강","초기"))</x:f>
        <x:v>범위 산정 후보</x:v>
      </x:c>
      <x:c r="M9" s="21" t="str">
        <x:v>야시장 음식·공식 브랜드 기념품 가격 추가</x:v>
      </x:c>
    </x:row>
    <x:row r="10" ht="38" customHeight="1">
      <x:c r="A10" s="16" t="str">
        <x:v>싱가포르</x:v>
      </x:c>
      <x:c r="B10" s="16" t="str">
        <x:v>싱가포르</x:v>
      </x:c>
      <x:c r="C10" s="16" t="str">
        <x:v>SGD</x:v>
      </x:c>
      <x:c r="D10" s="33" t="n">
        <x:f>COUNTIFS('가격 표본'!$C$5:$C$150,B10,'가격 표본'!$D$5:$D$150,"교통")</x:f>
        <x:v>4</x:v>
      </x:c>
      <x:c r="E10" s="33" t="n">
        <x:f>COUNTIFS('가격 표본'!$C$5:$C$150,B10,'가격 표본'!$D$5:$D$150,"외식")</x:f>
        <x:v>8</x:v>
      </x:c>
      <x:c r="F10" s="33" t="n">
        <x:f>COUNTIFS('가격 표본'!$C$5:$C$150,B10,'가격 표본'!$D$5:$D$150,"관광")</x:f>
        <x:v>4</x:v>
      </x:c>
      <x:c r="G10" s="33" t="n">
        <x:f>COUNTIFS('가격 표본'!$C$5:$C$150,B10,'가격 표본'!$D$5:$D$150,"기념품")</x:f>
        <x:v>4</x:v>
      </x:c>
      <x:c r="H10" s="33" t="n">
        <x:f>COUNTIFS('가격 표본'!$C$5:$C$150,B10,'가격 표본'!$N$5:$N$150,"A 공식")</x:f>
        <x:v>14</x:v>
      </x:c>
      <x:c r="I10" s="33" t="n">
        <x:f>COUNTIFS('가격 표본'!$C$5:$C$150,B10,'가격 표본'!$O$5:$O$150,"예")</x:f>
        <x:v>14</x:v>
      </x:c>
      <x:c r="J10" s="33" t="n">
        <x:f>COUNTIFS('가격 표본'!$C$5:$C$150,B10,'가격 표본'!$L$5:$L$150,"&lt;&gt;고정형")</x:f>
        <x:v>14</x:v>
      </x:c>
      <x:c r="K10" s="49" t="n">
        <x:f>(MIN(3,D10)+MIN(3,E10)+MIN(3,F10)+MIN(3,G10))/12</x:f>
        <x:v>1</x:v>
      </x:c>
      <x:c r="L10" s="33" t="str">
        <x:f>IF(AND(D10&gt;=2,E10&gt;=2,F10&gt;=2,G10&gt;=2,K10&gt;=0.75),"범위 산정 후보",IF(K10&gt;=0.4,"표본 보강","초기"))</x:f>
        <x:v>범위 산정 후보</x:v>
      </x:c>
      <x:c r="M10" s="22" t="str">
        <x:v>호커센터 직접 메뉴와 기념품 공식몰 보강</x:v>
      </x:c>
    </x:row>
    <x:row r="11" ht="38" customHeight="1">
      <x:c r="A11" s="15" t="str">
        <x:v>프랑스</x:v>
      </x:c>
      <x:c r="B11" s="15" t="str">
        <x:v>파리</x:v>
      </x:c>
      <x:c r="C11" s="15" t="str">
        <x:v>EUR</x:v>
      </x:c>
      <x:c r="D11" s="32" t="n">
        <x:f>COUNTIFS('가격 표본'!$C$5:$C$150,B11,'가격 표본'!$D$5:$D$150,"교통")</x:f>
        <x:v>4</x:v>
      </x:c>
      <x:c r="E11" s="32" t="n">
        <x:f>COUNTIFS('가격 표본'!$C$5:$C$150,B11,'가격 표본'!$D$5:$D$150,"외식")</x:f>
        <x:v>4</x:v>
      </x:c>
      <x:c r="F11" s="32" t="n">
        <x:f>COUNTIFS('가격 표본'!$C$5:$C$150,B11,'가격 표본'!$D$5:$D$150,"관광")</x:f>
        <x:v>6</x:v>
      </x:c>
      <x:c r="G11" s="32" t="n">
        <x:f>COUNTIFS('가격 표본'!$C$5:$C$150,B11,'가격 표본'!$D$5:$D$150,"기념품")</x:f>
        <x:v>3</x:v>
      </x:c>
      <x:c r="H11" s="32" t="n">
        <x:f>COUNTIFS('가격 표본'!$C$5:$C$150,B11,'가격 표본'!$N$5:$N$150,"A 공식")</x:f>
        <x:v>17</x:v>
      </x:c>
      <x:c r="I11" s="32" t="n">
        <x:f>COUNTIFS('가격 표본'!$C$5:$C$150,B11,'가격 표본'!$O$5:$O$150,"예")</x:f>
        <x:v>15</x:v>
      </x:c>
      <x:c r="J11" s="32" t="n">
        <x:f>COUNTIFS('가격 표본'!$C$5:$C$150,B11,'가격 표본'!$L$5:$L$150,"&lt;&gt;고정형")</x:f>
        <x:v>11</x:v>
      </x:c>
      <x:c r="K11" s="48" t="n">
        <x:f>(MIN(3,D11)+MIN(3,E11)+MIN(3,F11)+MIN(3,G11))/12</x:f>
        <x:v>1</x:v>
      </x:c>
      <x:c r="L11" s="32" t="str">
        <x:f>IF(AND(D11&gt;=2,E11&gt;=2,F11&gt;=2,G11&gt;=2,K11&gt;=0.75),"범위 산정 후보",IF(K11&gt;=0.4,"표본 보강","초기"))</x:f>
        <x:v>범위 산정 후보</x:v>
      </x:c>
      <x:c r="M11" s="21" t="str">
        <x:v>빵집·비스트로 공식 메뉴 3곳 수집</x:v>
      </x:c>
    </x:row>
    <x:row r="12" ht="38" customHeight="1">
      <x:c r="A12" s="16" t="str">
        <x:v>영국</x:v>
      </x:c>
      <x:c r="B12" s="16" t="str">
        <x:v>런던</x:v>
      </x:c>
      <x:c r="C12" s="16" t="str">
        <x:v>GBP</x:v>
      </x:c>
      <x:c r="D12" s="33" t="n">
        <x:f>COUNTIFS('가격 표본'!$C$5:$C$150,B12,'가격 표본'!$D$5:$D$150,"교통")</x:f>
        <x:v>5</x:v>
      </x:c>
      <x:c r="E12" s="33" t="n">
        <x:f>COUNTIFS('가격 표본'!$C$5:$C$150,B12,'가격 표본'!$D$5:$D$150,"외식")</x:f>
        <x:v>7</x:v>
      </x:c>
      <x:c r="F12" s="33" t="n">
        <x:f>COUNTIFS('가격 표본'!$C$5:$C$150,B12,'가격 표본'!$D$5:$D$150,"관광")</x:f>
        <x:v>5</x:v>
      </x:c>
      <x:c r="G12" s="33" t="n">
        <x:f>COUNTIFS('가격 표본'!$C$5:$C$150,B12,'가격 표본'!$D$5:$D$150,"기념품")</x:f>
        <x:v>3</x:v>
      </x:c>
      <x:c r="H12" s="33" t="n">
        <x:f>COUNTIFS('가격 표본'!$C$5:$C$150,B12,'가격 표본'!$N$5:$N$150,"A 공식")</x:f>
        <x:v>18</x:v>
      </x:c>
      <x:c r="I12" s="33" t="n">
        <x:f>COUNTIFS('가격 표본'!$C$5:$C$150,B12,'가격 표본'!$O$5:$O$150,"예")</x:f>
        <x:v>18</x:v>
      </x:c>
      <x:c r="J12" s="33" t="n">
        <x:f>COUNTIFS('가격 표본'!$C$5:$C$150,B12,'가격 표본'!$L$5:$L$150,"&lt;&gt;고정형")</x:f>
        <x:v>10</x:v>
      </x:c>
      <x:c r="K12" s="49" t="n">
        <x:f>(MIN(3,D12)+MIN(3,E12)+MIN(3,F12)+MIN(3,G12))/12</x:f>
        <x:v>1</x:v>
      </x:c>
      <x:c r="L12" s="33" t="str">
        <x:f>IF(AND(D12&gt;=2,E12&gt;=2,F12&gt;=2,G12&gt;=2,K12&gt;=0.75),"범위 산정 후보",IF(K12&gt;=0.4,"표본 보강","초기"))</x:f>
        <x:v>범위 산정 후보</x:v>
      </x:c>
      <x:c r="M12" s="22" t="str">
        <x:v>완성 식사 메뉴와 박물관 굿즈 직접 URL 보강</x:v>
      </x:c>
    </x:row>
  </x:sheetData>
  <x:mergeCells>
    <x:mergeCell ref="A1:M1"/>
    <x:mergeCell ref="A2:M2"/>
  </x:mergeCells>
  <x:conditionalFormatting sqref="K5:K1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34" hidden="0" customWidth="1"/>
    <x:col min="5" max="5" width="11" hidden="0" customWidth="1"/>
    <x:col min="6" max="6" width="32" hidden="0" customWidth="1"/>
    <x:col min="7" max="7" width="38" hidden="0" customWidth="1"/>
    <x:col min="8" max="8" width="12" hidden="0" customWidth="1"/>
    <x:col min="9" max="9" width="36" hidden="0" customWidth="1"/>
  </x:cols>
  <x:sheetData>
    <x:row r="1" ht="34" customHeight="1">
      <x:c r="A1" s="3" t="str">
        <x:v>다음 조사 큐</x:v>
      </x:c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6" t="str">
        <x:v>최종 도시 예산 범위를 만들기 전에 해소해야 할 구체적 누락 항목이다. 우선순위·완료조건·직접 출처 후보를 함께 관리한다.</x:v>
      </x:c>
      <x:c r="B2" s="6"/>
      <x:c r="C2" s="6"/>
      <x:c r="D2" s="6"/>
      <x:c r="E2" s="6"/>
      <x:c r="F2" s="6"/>
      <x:c r="G2" s="6"/>
      <x:c r="H2" s="6"/>
      <x:c r="I2" s="6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 ht="34" customHeight="1">
      <x:c r="A4" s="12" t="str">
        <x:v>우선순위</x:v>
      </x:c>
      <x:c r="B4" s="12" t="str">
        <x:v>도시</x:v>
      </x:c>
      <x:c r="C4" s="12" t="str">
        <x:v>카테고리</x:v>
      </x:c>
      <x:c r="D4" s="12" t="str">
        <x:v>조사 과제</x:v>
      </x:c>
      <x:c r="E4" s="12" t="str">
        <x:v>필요 표본</x:v>
      </x:c>
      <x:c r="F4" s="12" t="str">
        <x:v>직접 출처 후보</x:v>
      </x:c>
      <x:c r="G4" s="12" t="str">
        <x:v>완료 조건</x:v>
      </x:c>
      <x:c r="H4" s="12" t="str">
        <x:v>상태</x:v>
      </x:c>
      <x:c r="I4" s="12" t="str">
        <x:v>메모</x:v>
      </x:c>
    </x:row>
    <x:row r="5" ht="40" customHeight="1">
      <x:c r="A5" s="32" t="n">
        <x:v>1</x:v>
      </x:c>
      <x:c r="B5" s="32" t="str">
        <x:v>다낭</x:v>
      </x:c>
      <x:c r="C5" s="32" t="str">
        <x:v>기념품</x:v>
      </x:c>
      <x:c r="D5" s="21" t="str">
        <x:v>OCOP·한시장 인기 선물 실제 판매가</x:v>
      </x:c>
      <x:c r="E5" s="44" t="n">
        <x:v>3</x:v>
      </x:c>
      <x:c r="F5" s="21" t="str">
        <x:v>브랜드 공식몰/시장 공식 채널</x:v>
      </x:c>
      <x:c r="G5" s="21" t="str">
        <x:v>서로 다른 가격대 3개+포장 단위</x:v>
      </x:c>
      <x:c r="H5" s="21" t="str">
        <x:v>대기</x:v>
      </x:c>
      <x:c r="I5" s="21" t="str">
        <x:v>현재 기념품 표본 0</x:v>
      </x:c>
    </x:row>
    <x:row r="6" ht="40" customHeight="1">
      <x:c r="A6" s="33" t="n">
        <x:v>1</x:v>
      </x:c>
      <x:c r="B6" s="33" t="str">
        <x:v>다낭</x:v>
      </x:c>
      <x:c r="C6" s="33" t="str">
        <x:v>교통</x:v>
      </x:c>
      <x:c r="D6" s="22" t="str">
        <x:v>2026 시내버스 요금 재확인</x:v>
      </x:c>
      <x:c r="E6" s="45" t="n">
        <x:v>1</x:v>
      </x:c>
      <x:c r="F6" s="22" t="str">
        <x:v>다낭 교통운영기관</x:v>
      </x:c>
      <x:c r="G6" s="22" t="str">
        <x:v>노선·성인요금·적용일 확인</x:v>
      </x:c>
      <x:c r="H6" s="22" t="str">
        <x:v>대기</x:v>
      </x:c>
      <x:c r="I6" s="22" t="str">
        <x:v>2025 가격은 모델 제외</x:v>
      </x:c>
    </x:row>
    <x:row r="7" ht="40" customHeight="1">
      <x:c r="A7" s="32" t="n">
        <x:v>1</x:v>
      </x:c>
      <x:c r="B7" s="32" t="str">
        <x:v>런던</x:v>
      </x:c>
      <x:c r="C7" s="32" t="str">
        <x:v>외식</x:v>
      </x:c>
      <x:c r="D7" s="21" t="str">
        <x:v>완성 한 끼 공식 메뉴</x:v>
      </x:c>
      <x:c r="E7" s="44" t="n">
        <x:v>3</x:v>
      </x:c>
      <x:c r="F7" s="21" t="str">
        <x:v>펍/피시앤칩스 전문점 공식 메뉴</x:v>
      </x:c>
      <x:c r="G7" s="21" t="str">
        <x:v>아침·펍 한 끼·중가 식사 각 1개</x:v>
      </x:c>
      <x:c r="H7" s="21" t="str">
        <x:v>대기</x:v>
      </x:c>
      <x:c r="I7" s="21" t="str">
        <x:v>현재 사이드 메뉴 비중이 높음</x:v>
      </x:c>
    </x:row>
    <x:row r="8" ht="40" customHeight="1">
      <x:c r="A8" s="33" t="n">
        <x:v>1</x:v>
      </x:c>
      <x:c r="B8" s="33" t="str">
        <x:v>파리</x:v>
      </x:c>
      <x:c r="C8" s="33" t="str">
        <x:v>외식</x:v>
      </x:c>
      <x:c r="D8" s="22" t="str">
        <x:v>빵집·부용·비스트로 가격</x:v>
      </x:c>
      <x:c r="E8" s="45" t="n">
        <x:v>5</x:v>
      </x:c>
      <x:c r="F8" s="22" t="str">
        <x:v>매장 공식 메뉴</x:v>
      </x:c>
      <x:c r="G8" s="22" t="str">
        <x:v>아침·저가·중가 범위 확보</x:v>
      </x:c>
      <x:c r="H8" s="22" t="str">
        <x:v>대기</x:v>
      </x:c>
      <x:c r="I8" s="22" t="str">
        <x:v>부용 공식 메뉴 세부값 필요</x:v>
      </x:c>
    </x:row>
    <x:row r="9" ht="40" customHeight="1">
      <x:c r="A9" s="32" t="n">
        <x:v>1</x:v>
      </x:c>
      <x:c r="B9" s="32" t="str">
        <x:v>싱가포르</x:v>
      </x:c>
      <x:c r="C9" s="32" t="str">
        <x:v>외식</x:v>
      </x:c>
      <x:c r="D9" s="21" t="str">
        <x:v>호커센터 직접 메뉴</x:v>
      </x:c>
      <x:c r="E9" s="44" t="n">
        <x:v>5</x:v>
      </x:c>
      <x:c r="F9" s="21" t="str">
        <x:v>개별 점포 메뉴/현장 가격표</x:v>
      </x:c>
      <x:c r="G9" s="21" t="str">
        <x:v>치킨라이스·락사·호키엔미 포함</x:v>
      </x:c>
      <x:c r="H9" s="21" t="str">
        <x:v>대기</x:v>
      </x:c>
      <x:c r="I9" s="21" t="str">
        <x:v>현재 매장 디렉터리 의존</x:v>
      </x:c>
    </x:row>
    <x:row r="10" ht="40" customHeight="1">
      <x:c r="A10" s="33" t="n">
        <x:v>1</x:v>
      </x:c>
      <x:c r="B10" s="33" t="str">
        <x:v>타이베이</x:v>
      </x:c>
      <x:c r="C10" s="33" t="str">
        <x:v>외식</x:v>
      </x:c>
      <x:c r="D10" s="22" t="str">
        <x:v>야시장 가격</x:v>
      </x:c>
      <x:c r="E10" s="45" t="n">
        <x:v>5</x:v>
      </x:c>
      <x:c r="F10" s="22" t="str">
        <x:v>개별 점포 공식 채널/현장 메뉴</x:v>
      </x:c>
      <x:c r="G10" s="22" t="str">
        <x:v>루러우판·지파이·빙수 포함</x:v>
      </x:c>
      <x:c r="H10" s="22" t="str">
        <x:v>대기</x:v>
      </x:c>
      <x:c r="I10" s="22" t="str">
        <x:v>대표성 보강</x:v>
      </x:c>
    </x:row>
    <x:row r="11" ht="40" customHeight="1">
      <x:c r="A11" s="32" t="n">
        <x:v>2</x:v>
      </x:c>
      <x:c r="B11" s="32" t="str">
        <x:v>도쿄</x:v>
      </x:c>
      <x:c r="C11" s="32" t="str">
        <x:v>외식</x:v>
      </x:c>
      <x:c r="D11" s="21" t="str">
        <x:v>라멘·소바·스시 가격대</x:v>
      </x:c>
      <x:c r="E11" s="44" t="n">
        <x:v>6</x:v>
      </x:c>
      <x:c r="F11" s="21" t="str">
        <x:v>브랜드/식당 공식 메뉴</x:v>
      </x:c>
      <x:c r="G11" s="21" t="str">
        <x:v>저가·중가 각 3개</x:v>
      </x:c>
      <x:c r="H11" s="21" t="str">
        <x:v>대기</x:v>
      </x:c>
      <x:c r="I11" s="21" t="str">
        <x:v>규동과 관광지 식당만 확보</x:v>
      </x:c>
    </x:row>
    <x:row r="12" ht="40" customHeight="1">
      <x:c r="A12" s="33" t="n">
        <x:v>2</x:v>
      </x:c>
      <x:c r="B12" s="33" t="str">
        <x:v>오사카</x:v>
      </x:c>
      <x:c r="C12" s="33" t="str">
        <x:v>외식</x:v>
      </x:c>
      <x:c r="D12" s="22" t="str">
        <x:v>오코노미야키·쿠시카츠</x:v>
      </x:c>
      <x:c r="E12" s="45" t="n">
        <x:v>4</x:v>
      </x:c>
      <x:c r="F12" s="22" t="str">
        <x:v>전문점 공식 메뉴</x:v>
      </x:c>
      <x:c r="G12" s="22" t="str">
        <x:v>각 음식 2개 매장</x:v>
      </x:c>
      <x:c r="H12" s="22" t="str">
        <x:v>대기</x:v>
      </x:c>
      <x:c r="I12" s="22" t="str">
        <x:v>추천과 가격 연결 필요</x:v>
      </x:c>
    </x:row>
    <x:row r="13" ht="40" customHeight="1">
      <x:c r="A13" s="32" t="n">
        <x:v>2</x:v>
      </x:c>
      <x:c r="B13" s="32" t="str">
        <x:v>방콕</x:v>
      </x:c>
      <x:c r="C13" s="32" t="str">
        <x:v>외식</x:v>
      </x:c>
      <x:c r="D13" s="21" t="str">
        <x:v>길거리/푸드코트 저가 표본</x:v>
      </x:c>
      <x:c r="E13" s="44" t="n">
        <x:v>4</x:v>
      </x:c>
      <x:c r="F13" s="21" t="str">
        <x:v>점포 공식 메뉴/현장 가격표</x:v>
      </x:c>
      <x:c r="G13" s="21" t="str">
        <x:v>팟타이·쏨땀·디저트 포함</x:v>
      </x:c>
      <x:c r="H13" s="21" t="str">
        <x:v>대기</x:v>
      </x:c>
      <x:c r="I13" s="21" t="str">
        <x:v>현재 식당형 표본 중심</x:v>
      </x:c>
    </x:row>
    <x:row r="14" ht="40" customHeight="1">
      <x:c r="A14" s="33" t="n">
        <x:v>2</x:v>
      </x:c>
      <x:c r="B14" s="33" t="str">
        <x:v>방콕</x:v>
      </x:c>
      <x:c r="C14" s="33" t="str">
        <x:v>교통</x:v>
      </x:c>
      <x:c r="D14" s="22" t="str">
        <x:v>MRT·공항철도·택시 표본</x:v>
      </x:c>
      <x:c r="E14" s="45" t="n">
        <x:v>4</x:v>
      </x:c>
      <x:c r="F14" s="22" t="str">
        <x:v>운영기관·공식 요금표</x:v>
      </x:c>
      <x:c r="G14" s="22" t="str">
        <x:v>도시 내 하루 이동 시나리오 가능</x:v>
      </x:c>
      <x:c r="H14" s="22" t="str">
        <x:v>대기</x:v>
      </x:c>
      <x:c r="I14" s="22" t="str">
        <x:v>BTS 1일권만 확보</x:v>
      </x:c>
    </x:row>
    <x:row r="15" ht="40" customHeight="1">
      <x:c r="A15" s="32" t="n">
        <x:v>2</x:v>
      </x:c>
      <x:c r="B15" s="32" t="str">
        <x:v>싱가포르</x:v>
      </x:c>
      <x:c r="C15" s="32" t="str">
        <x:v>기념품</x:v>
      </x:c>
      <x:c r="D15" s="21" t="str">
        <x:v>브랜드 공식몰 가격</x:v>
      </x:c>
      <x:c r="E15" s="44" t="n">
        <x:v>3</x:v>
      </x:c>
      <x:c r="F15" s="21" t="str">
        <x:v>Bengawan Solo 등 공식몰</x:v>
      </x:c>
      <x:c r="G15" s="21" t="str">
        <x:v>식품·잡화 3개</x:v>
      </x:c>
      <x:c r="H15" s="21" t="str">
        <x:v>대기</x:v>
      </x:c>
      <x:c r="I15" s="21" t="str">
        <x:v>현재 매장 디렉터리 1개</x:v>
      </x:c>
    </x:row>
    <x:row r="16" ht="40" customHeight="1">
      <x:c r="A16" s="33" t="n">
        <x:v>2</x:v>
      </x:c>
      <x:c r="B16" s="33" t="str">
        <x:v>타이베이</x:v>
      </x:c>
      <x:c r="C16" s="33" t="str">
        <x:v>기념품</x:v>
      </x:c>
      <x:c r="D16" s="22" t="str">
        <x:v>브랜드 공식 가격</x:v>
      </x:c>
      <x:c r="E16" s="45" t="n">
        <x:v>3</x:v>
      </x:c>
      <x:c r="F16" s="22" t="str">
        <x:v>제과 브랜드 공식몰</x:v>
      </x:c>
      <x:c r="G16" s="22" t="str">
        <x:v>펑리수 외 2개 추가</x:v>
      </x:c>
      <x:c r="H16" s="22" t="str">
        <x:v>대기</x:v>
      </x:c>
      <x:c r="I16" s="22" t="str">
        <x:v>리테일러 가격 재검증</x:v>
      </x:c>
    </x:row>
    <x:row r="17" ht="40" customHeight="1">
      <x:c r="A17" s="32" t="n">
        <x:v>2</x:v>
      </x:c>
      <x:c r="B17" s="32" t="str">
        <x:v>파리</x:v>
      </x:c>
      <x:c r="C17" s="32" t="str">
        <x:v>기념품</x:v>
      </x:c>
      <x:c r="D17" s="21" t="str">
        <x:v>마카롱 공식몰 3사</x:v>
      </x:c>
      <x:c r="E17" s="44" t="n">
        <x:v>3</x:v>
      </x:c>
      <x:c r="F17" s="21" t="str">
        <x:v>브랜드 공식몰</x:v>
      </x:c>
      <x:c r="G17" s="21" t="str">
        <x:v>낱개·상자 단위 분리</x:v>
      </x:c>
      <x:c r="H17" s="21" t="str">
        <x:v>대기</x:v>
      </x:c>
      <x:c r="I17" s="21" t="str">
        <x:v>개별 가격 범위 보강</x:v>
      </x:c>
    </x:row>
    <x:row r="18" ht="40" customHeight="1">
      <x:c r="A18" s="33" t="n">
        <x:v>2</x:v>
      </x:c>
      <x:c r="B18" s="33" t="str">
        <x:v>런던</x:v>
      </x:c>
      <x:c r="C18" s="33" t="str">
        <x:v>기념품</x:v>
      </x:c>
      <x:c r="D18" s="22" t="str">
        <x:v>박물관·왕실 굿즈 가격</x:v>
      </x:c>
      <x:c r="E18" s="45" t="n">
        <x:v>4</x:v>
      </x:c>
      <x:c r="F18" s="22" t="str">
        <x:v>공식 숍</x:v>
      </x:c>
      <x:c r="G18" s="22" t="str">
        <x:v>소형·중형 선물 가격대</x:v>
      </x:c>
      <x:c r="H18" s="22" t="str">
        <x:v>대기</x:v>
      </x:c>
      <x:c r="I18" s="22" t="str">
        <x:v>상품 URL 필요</x:v>
      </x:c>
    </x:row>
    <x:row r="19" ht="40" customHeight="1">
      <x:c r="A19" s="32" t="n">
        <x:v>3</x:v>
      </x:c>
      <x:c r="B19" s="32" t="str">
        <x:v>전체</x:v>
      </x:c>
      <x:c r="C19" s="32" t="str">
        <x:v>숙박</x:v>
      </x:c>
      <x:c r="D19" s="21" t="str">
        <x:v>숙박 비용군 설계</x:v>
      </x:c>
      <x:c r="E19" s="44" t="n">
        <x:v>24</x:v>
      </x:c>
      <x:c r="F19" s="21" t="str">
        <x:v>호텔 공식 예약 페이지</x:v>
      </x:c>
      <x:c r="G19" s="21" t="str">
        <x:v>도시당 3성·4성·호스텔 각 3개, 세금 포함</x:v>
      </x:c>
      <x:c r="H19" s="21" t="str">
        <x:v>2단계</x:v>
      </x:c>
      <x:c r="I19" s="21" t="str">
        <x:v>방문일 영향이 커 별도 수집</x:v>
      </x:c>
    </x:row>
    <x:row r="20" ht="40" customHeight="1">
      <x:c r="A20" s="33" t="n">
        <x:v>3</x:v>
      </x:c>
      <x:c r="B20" s="33" t="str">
        <x:v>전체</x:v>
      </x:c>
      <x:c r="C20" s="33" t="str">
        <x:v>환율</x:v>
      </x:c>
      <x:c r="D20" s="22" t="str">
        <x:v>표시통화 환산 모듈 명세</x:v>
      </x:c>
      <x:c r="E20" s="45" t="n">
        <x:v>8</x:v>
      </x:c>
      <x:c r="F20" s="22" t="str">
        <x:v>중앙은행 기반 무료 환율 API</x:v>
      </x:c>
      <x:c r="G20" s="22" t="str">
        <x:v>현지통화·사용자통화·USD 동시 표시</x:v>
      </x:c>
      <x:c r="H20" s="22" t="str">
        <x:v>2단계</x:v>
      </x:c>
      <x:c r="I20" s="22" t="str">
        <x:v>가격 DB에는 환산액 저장하지 않음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5e8b624a0fe24e8b"/>
  </x:tableParts>
</x:worksheet>
</file>